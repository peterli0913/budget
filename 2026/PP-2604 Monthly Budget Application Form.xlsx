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8120" activeTab="1"/>
  </bookViews>
  <sheets>
    <sheet name="Summary" sheetId="1" r:id="rId1"/>
    <sheet name="K(Cost center)-Opex (Service)" sheetId="2" r:id="rId2"/>
    <sheet name="Capex-A(Asset)" sheetId="3" r:id="rId3"/>
    <sheet name="reference" sheetId="4" r:id="rId4"/>
  </sheets>
  <definedNames>
    <definedName name="_xlnm._FilterDatabase" localSheetId="2" hidden="1">'Capex-A(Asset)'!$A$2:$AH$165</definedName>
    <definedName name="_xlnm._FilterDatabase" localSheetId="1">'K(Cost center)-Opex (Service)'!#REF!</definedName>
    <definedName name="_xlnm._FilterDatabase" localSheetId="3">reference!$P$1:$P$61</definedName>
    <definedName name="_xlnm._FilterDatabase">'K(Cost center)-Opex (Service)'!#REF!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<sst xmlns="http://schemas.openxmlformats.org/spreadsheetml/2006/main" count="739" uniqueCount="413">
  <si>
    <t>Department</t>
  </si>
  <si>
    <t>Budget Approval</t>
  </si>
  <si>
    <t>Capex-A(Asset)</t>
  </si>
  <si>
    <t>K(Cost center)-Opex (Service)</t>
  </si>
  <si>
    <t xml:space="preserve">Total Budget </t>
  </si>
  <si>
    <t>L1</t>
  </si>
  <si>
    <t>L2</t>
  </si>
  <si>
    <t>Monthly</t>
  </si>
  <si>
    <t>Recurring</t>
  </si>
  <si>
    <t>Pilot Plant</t>
  </si>
  <si>
    <t>Operation</t>
  </si>
  <si>
    <t>Process Engineer</t>
  </si>
  <si>
    <t>Process Management</t>
  </si>
  <si>
    <t>Ware House</t>
  </si>
  <si>
    <t>Process Safety</t>
  </si>
  <si>
    <t>Maintenance</t>
  </si>
  <si>
    <t>Process Control</t>
  </si>
  <si>
    <t>Total</t>
  </si>
  <si>
    <t>Accounting Info.</t>
  </si>
  <si>
    <t>Requisition</t>
  </si>
  <si>
    <t>Budget Info.</t>
  </si>
  <si>
    <t>Approve Info.</t>
  </si>
  <si>
    <t>No.</t>
  </si>
  <si>
    <t>Opex service</t>
  </si>
  <si>
    <t>Material No.
/GL Account</t>
  </si>
  <si>
    <t>Cost Center</t>
  </si>
  <si>
    <t>PR Title</t>
  </si>
  <si>
    <t>Project</t>
  </si>
  <si>
    <t>Deliver to</t>
  </si>
  <si>
    <t>*Name</t>
  </si>
  <si>
    <t>*Description</t>
  </si>
  <si>
    <t>*UOM</t>
  </si>
  <si>
    <t>*Supplier Part Number</t>
  </si>
  <si>
    <t>*Need-by date</t>
  </si>
  <si>
    <t>*Comment/
Demand reason</t>
  </si>
  <si>
    <t>*Qty</t>
  </si>
  <si>
    <t>Unit price</t>
  </si>
  <si>
    <t>Freight</t>
  </si>
  <si>
    <t>Net amount</t>
  </si>
  <si>
    <t>Taxes</t>
  </si>
  <si>
    <t>Total cost</t>
  </si>
  <si>
    <t>Currency</t>
  </si>
  <si>
    <t>Supplier</t>
  </si>
  <si>
    <t>Comment for price</t>
  </si>
  <si>
    <t>Inquired by Name/Date</t>
  </si>
  <si>
    <t>Type</t>
  </si>
  <si>
    <t>Approved by</t>
  </si>
  <si>
    <t>Approved date</t>
  </si>
  <si>
    <t>Type of budget</t>
  </si>
  <si>
    <t>Budget  number</t>
  </si>
  <si>
    <t>Monthly Opex Service Budget
(Need approval)</t>
  </si>
  <si>
    <t>6600370000 EA Exp-Maintenance fee</t>
  </si>
  <si>
    <t>PP Equipment maintenance</t>
  </si>
  <si>
    <t>Repairs</t>
  </si>
  <si>
    <t>As yet unkonwn parts as a result of failure/need to replace</t>
  </si>
  <si>
    <t>EA</t>
  </si>
  <si>
    <t>GBP</t>
  </si>
  <si>
    <t>Various</t>
  </si>
  <si>
    <t>Monthly Call Off</t>
  </si>
  <si>
    <t>SW-NCH-M-202604-Maintenance</t>
  </si>
  <si>
    <t>Building Fabric/Plumbing</t>
  </si>
  <si>
    <t>As yet unknown building fabric upkeep and repairs as a result of degredation/failure etc</t>
  </si>
  <si>
    <t>Shepway Commercial Services</t>
  </si>
  <si>
    <t>SW-NCH-M-202604-Operation</t>
  </si>
  <si>
    <t>CMMS (HexagonEAM) technical support services</t>
  </si>
  <si>
    <t>CMMS Technical support services</t>
  </si>
  <si>
    <t>Call off for technical support to provide development and service support for CMMS system (HeaxagonEAM) to provide new reports, system enhancements etc.</t>
  </si>
  <si>
    <t>Call off for technical support to provide development and service support for CMMS system (HeaxagonEAM) to provide new reports, system enhancements etc. Provision of EAM from Hexagon does not come with enhancement/troubleshooting services for technical issues related to none infrastructure/access issues. We need to develop system reports further to respond to audit observations and streamline operation of system.</t>
  </si>
  <si>
    <t>Midport</t>
  </si>
  <si>
    <t>As per quote received based upon used hours in 2025/6</t>
  </si>
  <si>
    <t>Reactor sample system 3 way valves</t>
  </si>
  <si>
    <t>Reactor system 3 way valves for conatined sample systems</t>
  </si>
  <si>
    <t>Replacement of failed reactor system 3 way valves for contained sample systems with new versions as supplied by DeDetriech.</t>
  </si>
  <si>
    <t>2X sample system 3 way valves have failed in service and require replacing. Previous versions allowed for replacement of individual components, these are now obsolete and not available so a full valve assembly is required from OEM</t>
  </si>
  <si>
    <t>Rubix</t>
  </si>
  <si>
    <t>Recurring Monthly Charges
(For reviewing)</t>
  </si>
  <si>
    <t/>
  </si>
  <si>
    <t>Repair and Maintainance contract/ad-hoc</t>
  </si>
  <si>
    <t>Housekeeping</t>
  </si>
  <si>
    <t>PP Headlock cleaning service via DPML</t>
  </si>
  <si>
    <t>Discovery Park/DPML</t>
  </si>
  <si>
    <t>Based on contract in place with DPML</t>
  </si>
  <si>
    <t>DPML Sevice</t>
  </si>
  <si>
    <t>6600280000 EA Expenses-testing charges</t>
  </si>
  <si>
    <t>Service Charge</t>
  </si>
  <si>
    <t>PP Facility service charge</t>
  </si>
  <si>
    <t>Purified Water Testing</t>
  </si>
  <si>
    <t>Purified Water testing</t>
  </si>
  <si>
    <t>Monthly water sampling/testing charges for PP</t>
  </si>
  <si>
    <t>Nalco</t>
  </si>
  <si>
    <t>Based on quote in progress with Nalco</t>
  </si>
  <si>
    <t>6600240100 EA Exp-Transportation and storage costs</t>
  </si>
  <si>
    <t>Dawsons Api Store</t>
  </si>
  <si>
    <t>Provision of temperature controlled storage unit dedicated for API storage</t>
  </si>
  <si>
    <t xml:space="preserve">Monthly rental </t>
  </si>
  <si>
    <t>Dedicated controlled storage space required for completed APIs</t>
  </si>
  <si>
    <t>Dawsons</t>
  </si>
  <si>
    <t>As per contract (36 mth) agreed with Daswons</t>
  </si>
  <si>
    <t>6600420000 EA Expenses-consulting</t>
  </si>
  <si>
    <t>Draftsman routine updates</t>
  </si>
  <si>
    <t>PP controlled drawings require routine updates as and when changes are made for all changes (both CAPEX and none CAPEX) that impact the drawings. Monthly call off to ensure we can execute updates as and when they occur to ensure compliance for afety and quality.</t>
  </si>
  <si>
    <t>Previous order for controlled drawings updates will be fully consumed and there are a number of required items outstanding (.</t>
  </si>
  <si>
    <t>RB Plant</t>
  </si>
  <si>
    <t>Estimate for a routine monthly call off to ensure we can routinely update controlled drawings as and when they are required to be updated for safety and quality compliance</t>
  </si>
  <si>
    <t>Order Info. in Ariba</t>
  </si>
  <si>
    <t>Receipt Info. in Ariba</t>
  </si>
  <si>
    <t>Sort</t>
  </si>
  <si>
    <t>Asset Number
(From Finace)</t>
  </si>
  <si>
    <t>PR No.</t>
  </si>
  <si>
    <t>Ordered date</t>
  </si>
  <si>
    <t>Comment for order</t>
  </si>
  <si>
    <t>Qty</t>
  </si>
  <si>
    <t>Received date</t>
  </si>
  <si>
    <t>Account Assignment</t>
  </si>
  <si>
    <t>Budget No.</t>
  </si>
  <si>
    <t>Project/WBS</t>
  </si>
  <si>
    <t>Asset Number</t>
  </si>
  <si>
    <t>GL Account</t>
  </si>
  <si>
    <t>Material No.</t>
  </si>
  <si>
    <t>Document Type of PO</t>
  </si>
  <si>
    <t>SAP Plant</t>
  </si>
  <si>
    <r>
      <rPr>
        <b/>
        <sz val="10"/>
        <color rgb="FF000000"/>
        <rFont val="Arial"/>
        <charset val="134"/>
      </rPr>
      <t>物料描述</t>
    </r>
  </si>
  <si>
    <t>Description</t>
  </si>
  <si>
    <t>Department(L1)</t>
  </si>
  <si>
    <t>Department(L2)</t>
  </si>
  <si>
    <t>Sandwich budget coding rule</t>
  </si>
  <si>
    <t>P(Project)</t>
  </si>
  <si>
    <t>R&amp;D Project</t>
  </si>
  <si>
    <t>N/A</t>
  </si>
  <si>
    <t>Detailed</t>
  </si>
  <si>
    <t>×</t>
  </si>
  <si>
    <t>Z106 Expense PO</t>
  </si>
  <si>
    <t>SW1</t>
  </si>
  <si>
    <t>6600060100</t>
  </si>
  <si>
    <r>
      <rPr>
        <sz val="10"/>
        <color rgb="FF000000"/>
        <rFont val="微软雅黑"/>
        <charset val="134"/>
      </rPr>
      <t>费用</t>
    </r>
    <r>
      <rPr>
        <sz val="10"/>
        <color rgb="FF000000"/>
        <rFont val="Tahoma"/>
        <charset val="134"/>
      </rPr>
      <t>-</t>
    </r>
    <r>
      <rPr>
        <sz val="10"/>
        <color rgb="FF000000"/>
        <rFont val="微软雅黑"/>
        <charset val="134"/>
      </rPr>
      <t>办公费</t>
    </r>
  </si>
  <si>
    <t>Expenses-office allowance</t>
  </si>
  <si>
    <t>Administration &amp; HR</t>
  </si>
  <si>
    <t>A0001</t>
  </si>
  <si>
    <t>D(Inventory material)</t>
  </si>
  <si>
    <t>Mfg Project</t>
  </si>
  <si>
    <t>Project Budget No.</t>
  </si>
  <si>
    <t>Z108 Chemical PO</t>
  </si>
  <si>
    <t>6600060200</t>
  </si>
  <si>
    <r>
      <rPr>
        <sz val="10"/>
        <color rgb="FF000000"/>
        <rFont val="Arial"/>
        <charset val="134"/>
      </rPr>
      <t>费用</t>
    </r>
    <r>
      <rPr>
        <sz val="10"/>
        <color rgb="FF000000"/>
        <rFont val="Tahoma"/>
        <charset val="134"/>
      </rPr>
      <t>-</t>
    </r>
    <r>
      <rPr>
        <sz val="10"/>
        <color rgb="FF000000"/>
        <rFont val="Arial"/>
        <charset val="134"/>
      </rPr>
      <t>通讯费用</t>
    </r>
  </si>
  <si>
    <t>Telephone fee</t>
  </si>
  <si>
    <t>IT</t>
  </si>
  <si>
    <t>1.plant code</t>
  </si>
  <si>
    <t>meaning</t>
  </si>
  <si>
    <t>2.material</t>
  </si>
  <si>
    <t>full name</t>
  </si>
  <si>
    <t>3.budget type</t>
  </si>
  <si>
    <t>4.month</t>
  </si>
  <si>
    <t>5.department</t>
  </si>
  <si>
    <t>6.series number</t>
  </si>
  <si>
    <t>budget number</t>
  </si>
  <si>
    <t>K(Cost center)</t>
  </si>
  <si>
    <t>Opex (Material)</t>
  </si>
  <si>
    <t>Opex Budget No.</t>
  </si>
  <si>
    <t>6600060400</t>
  </si>
  <si>
    <r>
      <rPr>
        <sz val="10"/>
        <color rgb="FF000000"/>
        <rFont val="Arial"/>
        <charset val="134"/>
      </rPr>
      <t>费用</t>
    </r>
    <r>
      <rPr>
        <sz val="10"/>
        <color rgb="FF000000"/>
        <rFont val="Tahoma"/>
        <charset val="134"/>
      </rPr>
      <t>-</t>
    </r>
    <r>
      <rPr>
        <sz val="10"/>
        <color rgb="FF000000"/>
        <rFont val="Arial"/>
        <charset val="134"/>
      </rPr>
      <t>会议费</t>
    </r>
    <r>
      <rPr>
        <sz val="10"/>
        <color rgb="FF000000"/>
        <rFont val="Tahoma"/>
        <charset val="134"/>
      </rPr>
      <t>-</t>
    </r>
    <r>
      <rPr>
        <sz val="10"/>
        <color rgb="FF000000"/>
        <rFont val="Arial"/>
        <charset val="134"/>
      </rPr>
      <t>内部</t>
    </r>
  </si>
  <si>
    <t>Expense-Office maintenance</t>
  </si>
  <si>
    <t>BD</t>
  </si>
  <si>
    <t>sample1</t>
  </si>
  <si>
    <t>SW</t>
  </si>
  <si>
    <t>Sandwich</t>
  </si>
  <si>
    <t>CH</t>
  </si>
  <si>
    <t>Chemical</t>
  </si>
  <si>
    <t>M</t>
  </si>
  <si>
    <t>monthly budget</t>
  </si>
  <si>
    <t>June, 2024</t>
  </si>
  <si>
    <t>QC</t>
  </si>
  <si>
    <t>SW-CH-M-202406-QC</t>
  </si>
  <si>
    <t>Opex (Service)</t>
  </si>
  <si>
    <t>Start with 6</t>
  </si>
  <si>
    <t>6600060500</t>
  </si>
  <si>
    <r>
      <rPr>
        <sz val="10"/>
        <color rgb="FF000000"/>
        <rFont val="Arial"/>
        <charset val="134"/>
      </rPr>
      <t>费用</t>
    </r>
    <r>
      <rPr>
        <sz val="10"/>
        <color rgb="FF000000"/>
        <rFont val="Tahoma"/>
        <charset val="134"/>
      </rPr>
      <t>-</t>
    </r>
    <r>
      <rPr>
        <sz val="10"/>
        <color rgb="FF000000"/>
        <rFont val="Arial"/>
        <charset val="134"/>
      </rPr>
      <t>会议费</t>
    </r>
    <r>
      <rPr>
        <sz val="10"/>
        <color rgb="FF000000"/>
        <rFont val="Tahoma"/>
        <charset val="134"/>
      </rPr>
      <t>-</t>
    </r>
    <r>
      <rPr>
        <sz val="10"/>
        <color rgb="FF000000"/>
        <rFont val="Arial"/>
        <charset val="134"/>
      </rPr>
      <t>外部</t>
    </r>
  </si>
  <si>
    <t>Expense-Office repair</t>
  </si>
  <si>
    <t>sample2</t>
  </si>
  <si>
    <t>Q</t>
  </si>
  <si>
    <t>Quarterly budget</t>
  </si>
  <si>
    <t>SW-CH-Q-202406-QC</t>
  </si>
  <si>
    <t>A(Asset)</t>
  </si>
  <si>
    <t>Capex</t>
  </si>
  <si>
    <t>Capex Budget No.</t>
  </si>
  <si>
    <t>A0001
Detailed</t>
  </si>
  <si>
    <t>Z105 Fixed assets PO</t>
  </si>
  <si>
    <t>6600070100</t>
  </si>
  <si>
    <r>
      <rPr>
        <sz val="10"/>
        <color rgb="FF000000"/>
        <rFont val="Arial"/>
        <charset val="134"/>
      </rPr>
      <t>费用</t>
    </r>
    <r>
      <rPr>
        <sz val="10"/>
        <color rgb="FF000000"/>
        <rFont val="Tahoma"/>
        <charset val="134"/>
      </rPr>
      <t>-</t>
    </r>
    <r>
      <rPr>
        <sz val="10"/>
        <color rgb="FF000000"/>
        <rFont val="Arial"/>
        <charset val="134"/>
      </rPr>
      <t>广告费</t>
    </r>
  </si>
  <si>
    <t>Expenses-advertising charge</t>
  </si>
  <si>
    <t>sample 3</t>
  </si>
  <si>
    <t>E</t>
  </si>
  <si>
    <t>extraordinary budget</t>
  </si>
  <si>
    <t>ARD</t>
  </si>
  <si>
    <t>SW-CH-E-202406-ARD-001</t>
  </si>
  <si>
    <t>6600070300</t>
  </si>
  <si>
    <r>
      <rPr>
        <sz val="10"/>
        <color rgb="FF000000"/>
        <rFont val="Arial"/>
        <charset val="134"/>
      </rPr>
      <t>费用</t>
    </r>
    <r>
      <rPr>
        <sz val="10"/>
        <color rgb="FF000000"/>
        <rFont val="Tahoma"/>
        <charset val="134"/>
      </rPr>
      <t>-</t>
    </r>
    <r>
      <rPr>
        <sz val="10"/>
        <color rgb="FF000000"/>
        <rFont val="Arial"/>
        <charset val="134"/>
      </rPr>
      <t>参展费</t>
    </r>
    <r>
      <rPr>
        <sz val="10"/>
        <color rgb="FF000000"/>
        <rFont val="Tahoma"/>
        <charset val="134"/>
      </rPr>
      <t>-</t>
    </r>
    <r>
      <rPr>
        <sz val="10"/>
        <color rgb="FF000000"/>
        <rFont val="Arial"/>
        <charset val="134"/>
      </rPr>
      <t>国内</t>
    </r>
  </si>
  <si>
    <t>Expense- Exhibition fee - Domestic</t>
  </si>
  <si>
    <t>sample 4</t>
  </si>
  <si>
    <t>NCH</t>
  </si>
  <si>
    <t>Non-Chemical</t>
  </si>
  <si>
    <t>SW-NCH-E-202406-ARD-002</t>
  </si>
  <si>
    <t>6600070400</t>
  </si>
  <si>
    <r>
      <rPr>
        <sz val="10"/>
        <color rgb="FF000000"/>
        <rFont val="Arial"/>
        <charset val="134"/>
      </rPr>
      <t>费用</t>
    </r>
    <r>
      <rPr>
        <sz val="10"/>
        <color rgb="FF000000"/>
        <rFont val="Tahoma"/>
        <charset val="134"/>
      </rPr>
      <t>-</t>
    </r>
    <r>
      <rPr>
        <sz val="10"/>
        <color rgb="FF000000"/>
        <rFont val="Arial"/>
        <charset val="134"/>
      </rPr>
      <t>参展费</t>
    </r>
    <r>
      <rPr>
        <sz val="10"/>
        <color rgb="FF000000"/>
        <rFont val="Tahoma"/>
        <charset val="134"/>
      </rPr>
      <t>-</t>
    </r>
    <r>
      <rPr>
        <sz val="10"/>
        <color rgb="FF000000"/>
        <rFont val="Arial"/>
        <charset val="134"/>
      </rPr>
      <t>国外</t>
    </r>
  </si>
  <si>
    <t>Expense - Exhibition fees - Foreign</t>
  </si>
  <si>
    <t>Used for</t>
  </si>
  <si>
    <t>Drop-down options</t>
  </si>
  <si>
    <t>Mfg project</t>
  </si>
  <si>
    <t>R&amp;D project</t>
  </si>
  <si>
    <t>Opex Material</t>
  </si>
  <si>
    <t>6600090100</t>
  </si>
  <si>
    <r>
      <rPr>
        <sz val="10"/>
        <color rgb="FF000000"/>
        <rFont val="Arial"/>
        <charset val="134"/>
      </rPr>
      <t>费用</t>
    </r>
    <r>
      <rPr>
        <sz val="10"/>
        <color rgb="FF000000"/>
        <rFont val="Tahoma"/>
        <charset val="134"/>
      </rPr>
      <t>-</t>
    </r>
    <r>
      <rPr>
        <sz val="10"/>
        <color rgb="FF000000"/>
        <rFont val="Arial"/>
        <charset val="134"/>
      </rPr>
      <t>车辆费用</t>
    </r>
  </si>
  <si>
    <t>Exp-Vehicle cost</t>
  </si>
  <si>
    <t>HR &amp; Administration</t>
  </si>
  <si>
    <t>Lab</t>
  </si>
  <si>
    <t>Construction in progress - equipment procurement</t>
  </si>
  <si>
    <t>Capital/software</t>
  </si>
  <si>
    <t>SM</t>
  </si>
  <si>
    <t>Consumables</t>
  </si>
  <si>
    <t>New equipment</t>
  </si>
  <si>
    <t>6600100000</t>
  </si>
  <si>
    <r>
      <rPr>
        <sz val="10"/>
        <color rgb="FF000000"/>
        <rFont val="Arial"/>
        <charset val="134"/>
      </rPr>
      <t>费用</t>
    </r>
    <r>
      <rPr>
        <sz val="10"/>
        <color rgb="FF000000"/>
        <rFont val="Tahoma"/>
        <charset val="134"/>
      </rPr>
      <t>-</t>
    </r>
    <r>
      <rPr>
        <sz val="10"/>
        <color rgb="FF000000"/>
        <rFont val="Arial"/>
        <charset val="134"/>
      </rPr>
      <t>业务招待费</t>
    </r>
  </si>
  <si>
    <t>Expenses-business entertainment expense</t>
  </si>
  <si>
    <t>CRD</t>
  </si>
  <si>
    <t>CH/NCH</t>
  </si>
  <si>
    <t>Month</t>
  </si>
  <si>
    <t>Dept</t>
  </si>
  <si>
    <t>series Nr</t>
  </si>
  <si>
    <t xml:space="preserve">stationery </t>
  </si>
  <si>
    <t>Regent</t>
  </si>
  <si>
    <t>Project specific reagent/solvent/salt</t>
  </si>
  <si>
    <t>Common reagent
/solvent/salt</t>
  </si>
  <si>
    <t>Overhaul</t>
  </si>
  <si>
    <t>6600170100</t>
  </si>
  <si>
    <r>
      <rPr>
        <sz val="10"/>
        <color rgb="FF000000"/>
        <rFont val="Arial"/>
        <charset val="134"/>
      </rPr>
      <t>费用</t>
    </r>
    <r>
      <rPr>
        <sz val="10"/>
        <color rgb="FF000000"/>
        <rFont val="Tahoma"/>
        <charset val="134"/>
      </rPr>
      <t>-</t>
    </r>
    <r>
      <rPr>
        <sz val="10"/>
        <color rgb="FF000000"/>
        <rFont val="Arial"/>
        <charset val="134"/>
      </rPr>
      <t>招聘费用</t>
    </r>
  </si>
  <si>
    <t>Expenses-recruitment expenses</t>
  </si>
  <si>
    <t>HR</t>
  </si>
  <si>
    <t>Expenses-meterial cost</t>
  </si>
  <si>
    <t>Opex consumables/regents</t>
  </si>
  <si>
    <t>Bulk solvent</t>
  </si>
  <si>
    <t>Project specific column</t>
  </si>
  <si>
    <t>Common columns/parts</t>
  </si>
  <si>
    <t>Construction work project</t>
  </si>
  <si>
    <t>6600170300</t>
  </si>
  <si>
    <r>
      <rPr>
        <sz val="10"/>
        <color rgb="FF000000"/>
        <rFont val="Arial"/>
        <charset val="134"/>
      </rPr>
      <t>费用</t>
    </r>
    <r>
      <rPr>
        <sz val="10"/>
        <color rgb="FF000000"/>
        <rFont val="Tahoma"/>
        <charset val="134"/>
      </rPr>
      <t>-</t>
    </r>
    <r>
      <rPr>
        <sz val="10"/>
        <color rgb="FF000000"/>
        <rFont val="Arial"/>
        <charset val="134"/>
      </rPr>
      <t>猎头费用</t>
    </r>
  </si>
  <si>
    <t>Exp-Headhunting fees</t>
  </si>
  <si>
    <t>API Technology and Engineering Sciences</t>
  </si>
  <si>
    <t>Project WBS received materials</t>
  </si>
  <si>
    <t xml:space="preserve">R&amp;D Project materials </t>
  </si>
  <si>
    <t>Inorganic salt</t>
  </si>
  <si>
    <t>Software</t>
  </si>
  <si>
    <t>6600170400</t>
  </si>
  <si>
    <r>
      <rPr>
        <sz val="10"/>
        <color rgb="FF000000"/>
        <rFont val="Arial"/>
        <charset val="134"/>
      </rPr>
      <t>费用</t>
    </r>
    <r>
      <rPr>
        <sz val="10"/>
        <color rgb="FF000000"/>
        <rFont val="Tahoma"/>
        <charset val="134"/>
      </rPr>
      <t>-</t>
    </r>
    <r>
      <rPr>
        <sz val="10"/>
        <color rgb="FF000000"/>
        <rFont val="Arial"/>
        <charset val="134"/>
      </rPr>
      <t>培训费</t>
    </r>
  </si>
  <si>
    <t>Expenses-education and training</t>
  </si>
  <si>
    <t>EHS</t>
  </si>
  <si>
    <t>Exp-Maintenance fee</t>
  </si>
  <si>
    <t>Regular chemical</t>
  </si>
  <si>
    <t>6600170500</t>
  </si>
  <si>
    <r>
      <rPr>
        <sz val="10"/>
        <color rgb="FF000000"/>
        <rFont val="Arial"/>
        <charset val="134"/>
      </rPr>
      <t>费用</t>
    </r>
    <r>
      <rPr>
        <sz val="10"/>
        <color rgb="FF000000"/>
        <rFont val="Tahoma"/>
        <charset val="134"/>
      </rPr>
      <t>-</t>
    </r>
    <r>
      <rPr>
        <sz val="10"/>
        <color rgb="FF000000"/>
        <rFont val="Arial"/>
        <charset val="134"/>
      </rPr>
      <t>入职体检费</t>
    </r>
  </si>
  <si>
    <t>Expenses - Entry medical examination fee</t>
  </si>
  <si>
    <t>QA</t>
  </si>
  <si>
    <t>Training</t>
  </si>
  <si>
    <t>Facility/Waste</t>
  </si>
  <si>
    <t>6600170600</t>
  </si>
  <si>
    <r>
      <rPr>
        <sz val="10"/>
        <color rgb="FF000000"/>
        <rFont val="Arial"/>
        <charset val="134"/>
      </rPr>
      <t>费用</t>
    </r>
    <r>
      <rPr>
        <sz val="10"/>
        <color rgb="FF000000"/>
        <rFont val="Tahoma"/>
        <charset val="134"/>
      </rPr>
      <t>-</t>
    </r>
    <r>
      <rPr>
        <sz val="10"/>
        <color rgb="FF000000"/>
        <rFont val="Arial"/>
        <charset val="134"/>
      </rPr>
      <t>入职交通费</t>
    </r>
  </si>
  <si>
    <t>Expenses - Entry transportation</t>
  </si>
  <si>
    <t>Expenses-testing charges</t>
  </si>
  <si>
    <t>Testing</t>
  </si>
  <si>
    <t>Calibration</t>
  </si>
  <si>
    <t>Column</t>
  </si>
  <si>
    <t>6600180200</t>
  </si>
  <si>
    <r>
      <rPr>
        <sz val="10"/>
        <color rgb="FF000000"/>
        <rFont val="Arial"/>
        <charset val="134"/>
      </rPr>
      <t>费用</t>
    </r>
    <r>
      <rPr>
        <sz val="10"/>
        <color rgb="FF000000"/>
        <rFont val="Tahoma"/>
        <charset val="134"/>
      </rPr>
      <t>-</t>
    </r>
    <r>
      <rPr>
        <sz val="10"/>
        <color rgb="FF000000"/>
        <rFont val="Arial"/>
        <charset val="134"/>
      </rPr>
      <t>劳务费</t>
    </r>
    <r>
      <rPr>
        <sz val="10"/>
        <color rgb="FF000000"/>
        <rFont val="Tahoma"/>
        <charset val="134"/>
      </rPr>
      <t>-</t>
    </r>
    <r>
      <rPr>
        <sz val="10"/>
        <color rgb="FF000000"/>
        <rFont val="Arial"/>
        <charset val="134"/>
      </rPr>
      <t>其他</t>
    </r>
  </si>
  <si>
    <t>Expenses-labor wage</t>
  </si>
  <si>
    <t>Procurement</t>
  </si>
  <si>
    <t>Exp-Transportation and storage costs</t>
  </si>
  <si>
    <t>Separate Shipping</t>
  </si>
  <si>
    <t>Logistics</t>
  </si>
  <si>
    <t>Special testing</t>
  </si>
  <si>
    <t>6600190100</t>
  </si>
  <si>
    <r>
      <rPr>
        <sz val="10"/>
        <color rgb="FF000000"/>
        <rFont val="Arial"/>
        <charset val="134"/>
      </rPr>
      <t>费用</t>
    </r>
    <r>
      <rPr>
        <sz val="10"/>
        <color rgb="FF000000"/>
        <rFont val="Tahoma"/>
        <charset val="134"/>
      </rPr>
      <t>-</t>
    </r>
    <r>
      <rPr>
        <sz val="10"/>
        <color rgb="FF000000"/>
        <rFont val="Arial"/>
        <charset val="134"/>
      </rPr>
      <t>注册认证费</t>
    </r>
  </si>
  <si>
    <t>Exp-Registration certification fee</t>
  </si>
  <si>
    <t>RA</t>
  </si>
  <si>
    <t>Operation Management Office</t>
  </si>
  <si>
    <t>6600410000</t>
  </si>
  <si>
    <t>Exp-Commissioned development</t>
  </si>
  <si>
    <t>R&amp;D</t>
  </si>
  <si>
    <t>Special equipment</t>
  </si>
  <si>
    <t>6600200100</t>
  </si>
  <si>
    <r>
      <rPr>
        <sz val="10"/>
        <color rgb="FF000000"/>
        <rFont val="Arial"/>
        <charset val="134"/>
      </rPr>
      <t>费用</t>
    </r>
    <r>
      <rPr>
        <sz val="10"/>
        <color rgb="FF000000"/>
        <rFont val="Tahoma"/>
        <charset val="134"/>
      </rPr>
      <t>-</t>
    </r>
    <r>
      <rPr>
        <sz val="10"/>
        <color rgb="FF000000"/>
        <rFont val="Arial"/>
        <charset val="134"/>
      </rPr>
      <t>药品注册费</t>
    </r>
  </si>
  <si>
    <t>Exp-Drug registration fees</t>
  </si>
  <si>
    <t>6600420000</t>
  </si>
  <si>
    <t>Expenses-consulting</t>
  </si>
  <si>
    <t>6600210100</t>
  </si>
  <si>
    <r>
      <rPr>
        <sz val="10"/>
        <color rgb="FF000000"/>
        <rFont val="Arial"/>
        <charset val="134"/>
      </rPr>
      <t>费用</t>
    </r>
    <r>
      <rPr>
        <sz val="10"/>
        <color rgb="FF000000"/>
        <rFont val="Tahoma"/>
        <charset val="134"/>
      </rPr>
      <t>-</t>
    </r>
    <r>
      <rPr>
        <sz val="10"/>
        <color rgb="FF000000"/>
        <rFont val="Arial"/>
        <charset val="134"/>
      </rPr>
      <t>中介服务费</t>
    </r>
    <r>
      <rPr>
        <sz val="10"/>
        <color rgb="FF000000"/>
        <rFont val="Tahoma"/>
        <charset val="134"/>
      </rPr>
      <t>-</t>
    </r>
    <r>
      <rPr>
        <sz val="10"/>
        <color rgb="FF000000"/>
        <rFont val="Arial"/>
        <charset val="134"/>
      </rPr>
      <t>咨询费</t>
    </r>
  </si>
  <si>
    <t>Finance</t>
  </si>
  <si>
    <t>6600210200</t>
  </si>
  <si>
    <r>
      <rPr>
        <sz val="10"/>
        <color rgb="FF000000"/>
        <rFont val="Arial"/>
        <charset val="134"/>
      </rPr>
      <t>费用</t>
    </r>
    <r>
      <rPr>
        <sz val="10"/>
        <color rgb="FF000000"/>
        <rFont val="Tahoma"/>
        <charset val="134"/>
      </rPr>
      <t>-</t>
    </r>
    <r>
      <rPr>
        <sz val="10"/>
        <color rgb="FF000000"/>
        <rFont val="Arial"/>
        <charset val="134"/>
      </rPr>
      <t>中介服务费</t>
    </r>
    <r>
      <rPr>
        <sz val="10"/>
        <color rgb="FF000000"/>
        <rFont val="Tahoma"/>
        <charset val="134"/>
      </rPr>
      <t>-</t>
    </r>
    <r>
      <rPr>
        <sz val="10"/>
        <color rgb="FF000000"/>
        <rFont val="Arial"/>
        <charset val="134"/>
      </rPr>
      <t>审计费</t>
    </r>
  </si>
  <si>
    <t>Expenses-auditing</t>
  </si>
  <si>
    <t>6600210300</t>
  </si>
  <si>
    <r>
      <rPr>
        <sz val="10"/>
        <color rgb="FF000000"/>
        <rFont val="Arial"/>
        <charset val="134"/>
      </rPr>
      <t>费用</t>
    </r>
    <r>
      <rPr>
        <sz val="10"/>
        <color rgb="FF000000"/>
        <rFont val="Tahoma"/>
        <charset val="134"/>
      </rPr>
      <t>-</t>
    </r>
    <r>
      <rPr>
        <sz val="10"/>
        <color rgb="FF000000"/>
        <rFont val="Arial"/>
        <charset val="134"/>
      </rPr>
      <t>中介服务费</t>
    </r>
    <r>
      <rPr>
        <sz val="10"/>
        <color rgb="FF000000"/>
        <rFont val="Tahoma"/>
        <charset val="134"/>
      </rPr>
      <t>-</t>
    </r>
    <r>
      <rPr>
        <sz val="10"/>
        <color rgb="FF000000"/>
        <rFont val="Arial"/>
        <charset val="134"/>
      </rPr>
      <t>律师费</t>
    </r>
  </si>
  <si>
    <t>Expenses-lawer</t>
  </si>
  <si>
    <t>Sample cost</t>
  </si>
  <si>
    <t>6600220000</t>
  </si>
  <si>
    <r>
      <rPr>
        <sz val="10"/>
        <color rgb="FF000000"/>
        <rFont val="Arial"/>
        <charset val="134"/>
      </rPr>
      <t>费用</t>
    </r>
    <r>
      <rPr>
        <sz val="10"/>
        <color rgb="FF000000"/>
        <rFont val="Tahoma"/>
        <charset val="134"/>
      </rPr>
      <t>-</t>
    </r>
    <r>
      <rPr>
        <sz val="10"/>
        <color rgb="FF000000"/>
        <rFont val="Arial"/>
        <charset val="134"/>
      </rPr>
      <t>保险费</t>
    </r>
  </si>
  <si>
    <t>Expenses-insurance</t>
  </si>
  <si>
    <t>Exp-EHS cost - Metering and testing fee</t>
  </si>
  <si>
    <t>6600230100</t>
  </si>
  <si>
    <r>
      <rPr>
        <sz val="10"/>
        <color rgb="FF000000"/>
        <rFont val="Arial"/>
        <charset val="134"/>
      </rPr>
      <t>费用</t>
    </r>
    <r>
      <rPr>
        <sz val="10"/>
        <color rgb="FF000000"/>
        <rFont val="Tahoma"/>
        <charset val="134"/>
      </rPr>
      <t>-</t>
    </r>
    <r>
      <rPr>
        <sz val="10"/>
        <color rgb="FF000000"/>
        <rFont val="Arial"/>
        <charset val="134"/>
      </rPr>
      <t>能源</t>
    </r>
    <r>
      <rPr>
        <sz val="10"/>
        <color rgb="FF000000"/>
        <rFont val="Tahoma"/>
        <charset val="134"/>
      </rPr>
      <t>-</t>
    </r>
    <r>
      <rPr>
        <sz val="10"/>
        <color rgb="FF000000"/>
        <rFont val="Arial"/>
        <charset val="134"/>
      </rPr>
      <t>水费</t>
    </r>
  </si>
  <si>
    <t>Expenses-energy</t>
  </si>
  <si>
    <t>PP</t>
  </si>
  <si>
    <t>Expenses -EHS cost - Maintenance fees</t>
  </si>
  <si>
    <t>6600230200</t>
  </si>
  <si>
    <r>
      <rPr>
        <sz val="10"/>
        <color rgb="FF000000"/>
        <rFont val="Arial"/>
        <charset val="134"/>
      </rPr>
      <t>费用</t>
    </r>
    <r>
      <rPr>
        <sz val="10"/>
        <color rgb="FF000000"/>
        <rFont val="Tahoma"/>
        <charset val="134"/>
      </rPr>
      <t>-</t>
    </r>
    <r>
      <rPr>
        <sz val="10"/>
        <color rgb="FF000000"/>
        <rFont val="Arial"/>
        <charset val="134"/>
      </rPr>
      <t>能源</t>
    </r>
    <r>
      <rPr>
        <sz val="10"/>
        <color rgb="FF000000"/>
        <rFont val="Tahoma"/>
        <charset val="134"/>
      </rPr>
      <t>-</t>
    </r>
    <r>
      <rPr>
        <sz val="10"/>
        <color rgb="FF000000"/>
        <rFont val="Arial"/>
        <charset val="134"/>
      </rPr>
      <t>电费</t>
    </r>
  </si>
  <si>
    <t>Exp-energy-Electricity</t>
  </si>
  <si>
    <t>Expenses-EHS cost-three wastes transportation cost</t>
  </si>
  <si>
    <t>6600230300</t>
  </si>
  <si>
    <r>
      <rPr>
        <sz val="10"/>
        <color rgb="FF000000"/>
        <rFont val="Arial"/>
        <charset val="134"/>
      </rPr>
      <t>费用</t>
    </r>
    <r>
      <rPr>
        <sz val="10"/>
        <color rgb="FF000000"/>
        <rFont val="Tahoma"/>
        <charset val="134"/>
      </rPr>
      <t>-</t>
    </r>
    <r>
      <rPr>
        <sz val="10"/>
        <color rgb="FF000000"/>
        <rFont val="Arial"/>
        <charset val="134"/>
      </rPr>
      <t>能源</t>
    </r>
    <r>
      <rPr>
        <sz val="10"/>
        <color rgb="FF000000"/>
        <rFont val="Tahoma"/>
        <charset val="134"/>
      </rPr>
      <t>-</t>
    </r>
    <r>
      <rPr>
        <sz val="10"/>
        <color rgb="FF000000"/>
        <rFont val="Arial"/>
        <charset val="134"/>
      </rPr>
      <t>蒸汽费</t>
    </r>
  </si>
  <si>
    <t>Exp-energy-steam</t>
  </si>
  <si>
    <t>Expenses -EHS cost - Three waste treatment fee</t>
  </si>
  <si>
    <t>6600230400</t>
  </si>
  <si>
    <r>
      <rPr>
        <sz val="10"/>
        <color rgb="FF000000"/>
        <rFont val="Arial"/>
        <charset val="134"/>
      </rPr>
      <t>费用</t>
    </r>
    <r>
      <rPr>
        <sz val="10"/>
        <color rgb="FF000000"/>
        <rFont val="Tahoma"/>
        <charset val="134"/>
      </rPr>
      <t>-</t>
    </r>
    <r>
      <rPr>
        <sz val="10"/>
        <color rgb="FF000000"/>
        <rFont val="Arial"/>
        <charset val="134"/>
      </rPr>
      <t>能源</t>
    </r>
    <r>
      <rPr>
        <sz val="10"/>
        <color rgb="FF000000"/>
        <rFont val="Tahoma"/>
        <charset val="134"/>
      </rPr>
      <t>-</t>
    </r>
    <r>
      <rPr>
        <sz val="10"/>
        <color rgb="FF000000"/>
        <rFont val="Arial"/>
        <charset val="134"/>
      </rPr>
      <t>天然气</t>
    </r>
  </si>
  <si>
    <t>Exp-energy-gas</t>
  </si>
  <si>
    <t>Expenses -EHS cost - Garbage removal fees</t>
  </si>
  <si>
    <t>6600230500</t>
  </si>
  <si>
    <r>
      <rPr>
        <sz val="10"/>
        <color rgb="FF000000"/>
        <rFont val="Arial"/>
        <charset val="134"/>
      </rPr>
      <t>费用</t>
    </r>
    <r>
      <rPr>
        <sz val="10"/>
        <color rgb="FF000000"/>
        <rFont val="Tahoma"/>
        <charset val="134"/>
      </rPr>
      <t>-</t>
    </r>
    <r>
      <rPr>
        <sz val="10"/>
        <color rgb="FF000000"/>
        <rFont val="Arial"/>
        <charset val="134"/>
      </rPr>
      <t>能源</t>
    </r>
    <r>
      <rPr>
        <sz val="10"/>
        <color rgb="FF000000"/>
        <rFont val="Tahoma"/>
        <charset val="134"/>
      </rPr>
      <t>-</t>
    </r>
    <r>
      <rPr>
        <sz val="10"/>
        <color rgb="FF000000"/>
        <rFont val="Arial"/>
        <charset val="134"/>
      </rPr>
      <t>采暖费</t>
    </r>
  </si>
  <si>
    <t>Exp-energy-heating</t>
  </si>
  <si>
    <t>Expenses -EHS cost - Training fees</t>
  </si>
  <si>
    <t>6600230600</t>
  </si>
  <si>
    <r>
      <rPr>
        <sz val="10"/>
        <color rgb="FF000000"/>
        <rFont val="Arial"/>
        <charset val="134"/>
      </rPr>
      <t>费用</t>
    </r>
    <r>
      <rPr>
        <sz val="10"/>
        <color rgb="FF000000"/>
        <rFont val="Tahoma"/>
        <charset val="134"/>
      </rPr>
      <t>-</t>
    </r>
    <r>
      <rPr>
        <sz val="10"/>
        <color rgb="FF000000"/>
        <rFont val="Arial"/>
        <charset val="134"/>
      </rPr>
      <t>能源</t>
    </r>
    <r>
      <rPr>
        <sz val="10"/>
        <color rgb="FF000000"/>
        <rFont val="Tahoma"/>
        <charset val="134"/>
      </rPr>
      <t>-</t>
    </r>
    <r>
      <rPr>
        <sz val="10"/>
        <color rgb="FF000000"/>
        <rFont val="Arial"/>
        <charset val="134"/>
      </rPr>
      <t>柴油</t>
    </r>
  </si>
  <si>
    <t>Exp-energy-diesel</t>
  </si>
  <si>
    <t>Expenses -EHS cost - Property fees</t>
  </si>
  <si>
    <t>6600230700</t>
  </si>
  <si>
    <r>
      <rPr>
        <sz val="10"/>
        <color rgb="FF000000"/>
        <rFont val="Arial"/>
        <charset val="134"/>
      </rPr>
      <t>费用</t>
    </r>
    <r>
      <rPr>
        <sz val="10"/>
        <color rgb="FF000000"/>
        <rFont val="Tahoma"/>
        <charset val="134"/>
      </rPr>
      <t>-</t>
    </r>
    <r>
      <rPr>
        <sz val="10"/>
        <color rgb="FF000000"/>
        <rFont val="Arial"/>
        <charset val="134"/>
      </rPr>
      <t>能源</t>
    </r>
    <r>
      <rPr>
        <sz val="10"/>
        <color rgb="FF000000"/>
        <rFont val="Tahoma"/>
        <charset val="134"/>
      </rPr>
      <t>-</t>
    </r>
    <r>
      <rPr>
        <sz val="10"/>
        <color rgb="FF000000"/>
        <rFont val="Arial"/>
        <charset val="134"/>
      </rPr>
      <t>煤</t>
    </r>
  </si>
  <si>
    <t>Exp-energy-coal</t>
  </si>
  <si>
    <t>Expenses -EHS cost - Evaluation fees</t>
  </si>
  <si>
    <t>6600240200</t>
  </si>
  <si>
    <r>
      <rPr>
        <sz val="10"/>
        <color rgb="FF000000"/>
        <rFont val="Arial"/>
        <charset val="134"/>
      </rPr>
      <t>费用</t>
    </r>
    <r>
      <rPr>
        <sz val="10"/>
        <color rgb="FF000000"/>
        <rFont val="Tahoma"/>
        <charset val="134"/>
      </rPr>
      <t>-</t>
    </r>
    <r>
      <rPr>
        <sz val="10"/>
        <color rgb="FF000000"/>
        <rFont val="Arial"/>
        <charset val="134"/>
      </rPr>
      <t>运输</t>
    </r>
    <r>
      <rPr>
        <sz val="10"/>
        <color rgb="FF000000"/>
        <rFont val="Tahoma"/>
        <charset val="134"/>
      </rPr>
      <t>-</t>
    </r>
    <r>
      <rPr>
        <sz val="10"/>
        <color rgb="FF000000"/>
        <rFont val="Arial"/>
        <charset val="134"/>
      </rPr>
      <t>出口费用</t>
    </r>
  </si>
  <si>
    <t>Exp-transport costs</t>
  </si>
  <si>
    <t>Expenses -EHS cost - Monitoring fees</t>
  </si>
  <si>
    <t>6600250000</t>
  </si>
  <si>
    <r>
      <rPr>
        <sz val="10"/>
        <color rgb="FF000000"/>
        <rFont val="Arial"/>
        <charset val="134"/>
      </rPr>
      <t>费用</t>
    </r>
    <r>
      <rPr>
        <sz val="10"/>
        <color rgb="FF000000"/>
        <rFont val="Tahoma"/>
        <charset val="134"/>
      </rPr>
      <t>-</t>
    </r>
    <r>
      <rPr>
        <sz val="10"/>
        <color rgb="FF000000"/>
        <rFont val="Arial"/>
        <charset val="134"/>
      </rPr>
      <t>进口代理费</t>
    </r>
  </si>
  <si>
    <t>Exp-ImportAgencyFees</t>
  </si>
  <si>
    <t>Expenses -EHS cost - Health fees</t>
  </si>
  <si>
    <t>6600260000</t>
  </si>
  <si>
    <r>
      <rPr>
        <sz val="10"/>
        <color rgb="FF000000"/>
        <rFont val="Arial"/>
        <charset val="134"/>
      </rPr>
      <t>费用</t>
    </r>
    <r>
      <rPr>
        <sz val="10"/>
        <color rgb="FF000000"/>
        <rFont val="Tahoma"/>
        <charset val="134"/>
      </rPr>
      <t>-</t>
    </r>
    <r>
      <rPr>
        <sz val="10"/>
        <color rgb="FF000000"/>
        <rFont val="Arial"/>
        <charset val="134"/>
      </rPr>
      <t>关税</t>
    </r>
  </si>
  <si>
    <t>Expenses-tariff</t>
  </si>
  <si>
    <t>Expenses -EHS cost - Security fees</t>
  </si>
  <si>
    <t>6600270000</t>
  </si>
  <si>
    <r>
      <rPr>
        <sz val="10"/>
        <color rgb="FF000000"/>
        <rFont val="Arial"/>
        <charset val="134"/>
      </rPr>
      <t>费用</t>
    </r>
    <r>
      <rPr>
        <sz val="10"/>
        <color rgb="FF000000"/>
        <rFont val="Tahoma"/>
        <charset val="134"/>
      </rPr>
      <t>-</t>
    </r>
    <r>
      <rPr>
        <sz val="10"/>
        <color rgb="FF000000"/>
        <rFont val="Arial"/>
        <charset val="134"/>
      </rPr>
      <t>加工费</t>
    </r>
  </si>
  <si>
    <t>Expenses-processing charges</t>
  </si>
  <si>
    <t>Expenses -EHS cost - Other</t>
  </si>
  <si>
    <t>6600280000</t>
  </si>
  <si>
    <r>
      <rPr>
        <sz val="10"/>
        <color rgb="FF000000"/>
        <rFont val="Arial"/>
        <charset val="134"/>
      </rPr>
      <t>费用</t>
    </r>
    <r>
      <rPr>
        <sz val="10"/>
        <color rgb="FF000000"/>
        <rFont val="Tahoma"/>
        <charset val="134"/>
      </rPr>
      <t>-</t>
    </r>
    <r>
      <rPr>
        <sz val="10"/>
        <color rgb="FF000000"/>
        <rFont val="Arial"/>
        <charset val="134"/>
      </rPr>
      <t>检测费用</t>
    </r>
  </si>
  <si>
    <t>QA&amp;QC</t>
  </si>
  <si>
    <t>6600290000</t>
  </si>
  <si>
    <r>
      <rPr>
        <sz val="10"/>
        <color rgb="FF000000"/>
        <rFont val="Arial"/>
        <charset val="134"/>
      </rPr>
      <t>费用</t>
    </r>
    <r>
      <rPr>
        <sz val="10"/>
        <color rgb="FF000000"/>
        <rFont val="Tahoma"/>
        <charset val="134"/>
      </rPr>
      <t>-</t>
    </r>
    <r>
      <rPr>
        <sz val="10"/>
        <color rgb="FF000000"/>
        <rFont val="Arial"/>
        <charset val="134"/>
      </rPr>
      <t>专利费</t>
    </r>
  </si>
  <si>
    <t>Expenses-patent charges</t>
  </si>
  <si>
    <t>6600300000</t>
  </si>
  <si>
    <r>
      <rPr>
        <sz val="10"/>
        <color rgb="FF000000"/>
        <rFont val="Arial"/>
        <charset val="134"/>
      </rPr>
      <t>费用</t>
    </r>
    <r>
      <rPr>
        <sz val="10"/>
        <color rgb="FF000000"/>
        <rFont val="Tahoma"/>
        <charset val="134"/>
      </rPr>
      <t>-</t>
    </r>
    <r>
      <rPr>
        <sz val="10"/>
        <color rgb="FF000000"/>
        <rFont val="Arial"/>
        <charset val="134"/>
      </rPr>
      <t>协会会费</t>
    </r>
  </si>
  <si>
    <t>Exp-Association dues</t>
  </si>
  <si>
    <t>6600340100</t>
  </si>
  <si>
    <r>
      <rPr>
        <sz val="10"/>
        <color rgb="FF000000"/>
        <rFont val="Arial"/>
        <charset val="134"/>
      </rPr>
      <t>费用</t>
    </r>
    <r>
      <rPr>
        <sz val="10"/>
        <color rgb="FF000000"/>
        <rFont val="Tahoma"/>
        <charset val="134"/>
      </rPr>
      <t>-</t>
    </r>
    <r>
      <rPr>
        <sz val="10"/>
        <color rgb="FF000000"/>
        <rFont val="Arial"/>
        <charset val="134"/>
      </rPr>
      <t>行政物业费</t>
    </r>
  </si>
  <si>
    <t>Exp-Administrative property fees</t>
  </si>
  <si>
    <t xml:space="preserve">Administration </t>
  </si>
  <si>
    <t>6600340200</t>
  </si>
  <si>
    <r>
      <rPr>
        <sz val="10"/>
        <color rgb="FF000000"/>
        <rFont val="Arial"/>
        <charset val="134"/>
      </rPr>
      <t>费用</t>
    </r>
    <r>
      <rPr>
        <sz val="10"/>
        <color rgb="FF000000"/>
        <rFont val="Tahoma"/>
        <charset val="134"/>
      </rPr>
      <t>-</t>
    </r>
    <r>
      <rPr>
        <sz val="10"/>
        <color rgb="FF000000"/>
        <rFont val="Arial"/>
        <charset val="134"/>
      </rPr>
      <t>保洁费</t>
    </r>
  </si>
  <si>
    <t>Exp-Cleaning fee</t>
  </si>
  <si>
    <t>6600350100</t>
  </si>
  <si>
    <r>
      <rPr>
        <sz val="10"/>
        <color rgb="FF000000"/>
        <rFont val="宋体"/>
        <charset val="134"/>
      </rPr>
      <t>费用</t>
    </r>
    <r>
      <rPr>
        <sz val="10"/>
        <color rgb="FF000000"/>
        <rFont val="Tahoma"/>
        <charset val="134"/>
      </rPr>
      <t>-EHS</t>
    </r>
    <r>
      <rPr>
        <sz val="10"/>
        <color rgb="FF000000"/>
        <rFont val="宋体"/>
        <charset val="134"/>
      </rPr>
      <t>费用</t>
    </r>
    <r>
      <rPr>
        <sz val="10"/>
        <color rgb="FF000000"/>
        <rFont val="Tahoma"/>
        <charset val="134"/>
      </rPr>
      <t>-</t>
    </r>
    <r>
      <rPr>
        <sz val="10"/>
        <color rgb="FF000000"/>
        <rFont val="宋体"/>
        <charset val="134"/>
      </rPr>
      <t>计量检测费</t>
    </r>
  </si>
  <si>
    <t>6600350200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</si>
  <si>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维修维护费</t>
    </r>
  </si>
  <si>
    <t>6600350300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</si>
  <si>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三废运输费</t>
    </r>
  </si>
  <si>
    <t>6600350400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</si>
  <si>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三废处理费</t>
    </r>
  </si>
  <si>
    <t>6600350500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</si>
  <si>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垃圾清运费</t>
    </r>
  </si>
  <si>
    <t>6600350600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</si>
  <si>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培训费</t>
    </r>
  </si>
  <si>
    <t>6600350700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</si>
  <si>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物业费</t>
    </r>
  </si>
  <si>
    <t>6600350800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</si>
  <si>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评价费</t>
    </r>
  </si>
  <si>
    <t>6600350900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</si>
  <si>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监测费</t>
    </r>
  </si>
  <si>
    <t>6600351000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</si>
  <si>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健康费</t>
    </r>
  </si>
  <si>
    <t>6600351100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</si>
  <si>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保安费</t>
    </r>
  </si>
  <si>
    <t>6600351200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</si>
  <si>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其他</t>
    </r>
  </si>
  <si>
    <t>6600370000</t>
  </si>
  <si>
    <r>
      <rPr>
        <sz val="10"/>
        <color rgb="FF000000"/>
        <rFont val="Arial"/>
        <charset val="134"/>
      </rPr>
      <t>费用</t>
    </r>
    <r>
      <rPr>
        <sz val="10"/>
        <color rgb="FF000000"/>
        <rFont val="Tahoma"/>
        <charset val="134"/>
      </rPr>
      <t>-</t>
    </r>
    <r>
      <rPr>
        <sz val="10"/>
        <color rgb="FF000000"/>
        <rFont val="Arial"/>
        <charset val="134"/>
      </rPr>
      <t>维修维护费</t>
    </r>
  </si>
  <si>
    <t>Repair and Maintainance</t>
  </si>
  <si>
    <t>6600370100</t>
  </si>
  <si>
    <r>
      <rPr>
        <sz val="10"/>
        <color rgb="FF000000"/>
        <rFont val="Arial"/>
        <charset val="134"/>
      </rPr>
      <t>费用</t>
    </r>
    <r>
      <rPr>
        <sz val="10"/>
        <color rgb="FF000000"/>
        <rFont val="Tahoma"/>
        <charset val="134"/>
      </rPr>
      <t>-</t>
    </r>
    <r>
      <rPr>
        <sz val="10"/>
        <color rgb="FF000000"/>
        <rFont val="Arial"/>
        <charset val="134"/>
      </rPr>
      <t>计量检测费</t>
    </r>
  </si>
  <si>
    <t>Expenses - Metering test fee</t>
  </si>
  <si>
    <t>QA&amp;QC&amp;PP&amp;Lab</t>
  </si>
  <si>
    <t>6600380000</t>
  </si>
  <si>
    <r>
      <rPr>
        <sz val="10"/>
        <color rgb="FF000000"/>
        <rFont val="Arial"/>
        <charset val="134"/>
      </rPr>
      <t>费用</t>
    </r>
    <r>
      <rPr>
        <sz val="10"/>
        <color rgb="FF000000"/>
        <rFont val="Tahoma"/>
        <charset val="134"/>
      </rPr>
      <t>-</t>
    </r>
    <r>
      <rPr>
        <sz val="10"/>
        <color rgb="FF000000"/>
        <rFont val="Arial"/>
        <charset val="134"/>
      </rPr>
      <t>租赁费</t>
    </r>
  </si>
  <si>
    <t>Expenses-lease</t>
  </si>
  <si>
    <t>6600390000</t>
  </si>
  <si>
    <r>
      <rPr>
        <sz val="10"/>
        <color rgb="FF000000"/>
        <rFont val="Arial"/>
        <charset val="134"/>
      </rPr>
      <t>费用</t>
    </r>
    <r>
      <rPr>
        <sz val="10"/>
        <color rgb="FF000000"/>
        <rFont val="Tahoma"/>
        <charset val="134"/>
      </rPr>
      <t>-</t>
    </r>
    <r>
      <rPr>
        <sz val="10"/>
        <color rgb="FF000000"/>
        <rFont val="Arial"/>
        <charset val="134"/>
      </rPr>
      <t>房租租赁及装修费</t>
    </r>
  </si>
  <si>
    <t>Exp-Rental and renovation fees</t>
  </si>
  <si>
    <r>
      <rPr>
        <sz val="10"/>
        <color rgb="FF000000"/>
        <rFont val="Arial"/>
        <charset val="134"/>
      </rPr>
      <t>费用</t>
    </r>
    <r>
      <rPr>
        <sz val="10"/>
        <color rgb="FF000000"/>
        <rFont val="Tahoma"/>
        <charset val="134"/>
      </rPr>
      <t>-</t>
    </r>
    <r>
      <rPr>
        <sz val="10"/>
        <color rgb="FF000000"/>
        <rFont val="Arial"/>
        <charset val="134"/>
      </rPr>
      <t>委托研发</t>
    </r>
  </si>
  <si>
    <r>
      <rPr>
        <sz val="10"/>
        <color rgb="FF000000"/>
        <rFont val="Arial"/>
        <charset val="134"/>
      </rPr>
      <t>费用</t>
    </r>
    <r>
      <rPr>
        <sz val="10"/>
        <color rgb="FF000000"/>
        <rFont val="Tahoma"/>
        <charset val="134"/>
      </rPr>
      <t>-</t>
    </r>
    <r>
      <rPr>
        <sz val="10"/>
        <color rgb="FF000000"/>
        <rFont val="Arial"/>
        <charset val="134"/>
      </rPr>
      <t>专业服务费</t>
    </r>
  </si>
  <si>
    <t>6600800100</t>
  </si>
  <si>
    <r>
      <rPr>
        <sz val="10"/>
        <color rgb="FF000000"/>
        <rFont val="Arial"/>
        <charset val="134"/>
      </rPr>
      <t>在建工程</t>
    </r>
    <r>
      <rPr>
        <sz val="10"/>
        <color rgb="FF000000"/>
        <rFont val="Tahoma"/>
        <charset val="134"/>
      </rPr>
      <t>-</t>
    </r>
    <r>
      <rPr>
        <sz val="10"/>
        <color rgb="FF000000"/>
        <rFont val="Arial"/>
        <charset val="134"/>
      </rPr>
      <t>工程采购</t>
    </r>
  </si>
  <si>
    <t>CIP-Engineering procurement</t>
  </si>
  <si>
    <t>6600800200</t>
  </si>
  <si>
    <r>
      <rPr>
        <sz val="10"/>
        <color rgb="FF000000"/>
        <rFont val="Arial"/>
        <charset val="134"/>
      </rPr>
      <t>在建工程</t>
    </r>
    <r>
      <rPr>
        <sz val="10"/>
        <color rgb="FF000000"/>
        <rFont val="Tahoma"/>
        <charset val="134"/>
      </rPr>
      <t>-</t>
    </r>
    <r>
      <rPr>
        <sz val="10"/>
        <color rgb="FF000000"/>
        <rFont val="Arial"/>
        <charset val="134"/>
      </rPr>
      <t>设备采购</t>
    </r>
  </si>
  <si>
    <r>
      <rPr>
        <sz val="10"/>
        <color rgb="FF000000"/>
        <rFont val="宋体"/>
        <charset val="134"/>
      </rPr>
      <t>项目</t>
    </r>
    <r>
      <rPr>
        <sz val="10"/>
        <color rgb="FF000000"/>
        <rFont val="Tahoma"/>
        <charset val="134"/>
      </rPr>
      <t>WBS</t>
    </r>
    <r>
      <rPr>
        <sz val="10"/>
        <color rgb="FF000000"/>
        <rFont val="宋体"/>
        <charset val="134"/>
      </rPr>
      <t>领用材料</t>
    </r>
  </si>
  <si>
    <r>
      <rPr>
        <sz val="10"/>
        <color rgb="FF000000"/>
        <rFont val="Arial"/>
        <charset val="134"/>
      </rPr>
      <t>费用</t>
    </r>
    <r>
      <rPr>
        <sz val="10"/>
        <color rgb="FF000000"/>
        <rFont val="Tahoma"/>
        <charset val="134"/>
      </rPr>
      <t>-</t>
    </r>
    <r>
      <rPr>
        <sz val="10"/>
        <color rgb="FF000000"/>
        <rFont val="Arial"/>
        <charset val="134"/>
      </rPr>
      <t>物料消耗</t>
    </r>
  </si>
  <si>
    <r>
      <rPr>
        <sz val="10"/>
        <color rgb="FF000000"/>
        <rFont val="Arial"/>
        <charset val="134"/>
      </rPr>
      <t>费用</t>
    </r>
    <r>
      <rPr>
        <sz val="10"/>
        <color rgb="FF000000"/>
        <rFont val="Tahoma"/>
        <charset val="134"/>
      </rPr>
      <t>-</t>
    </r>
    <r>
      <rPr>
        <sz val="10"/>
        <color rgb="FF000000"/>
        <rFont val="Arial"/>
        <charset val="134"/>
      </rPr>
      <t>样品</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</si>
</sst>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15">
    <numFmt numFmtId="26" formatCode="\$#,##0.00_);[Red]\(\$#,##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809]#,##0.00;[Red]\-[$£-809]#,##0.00"/>
    <numFmt numFmtId="177" formatCode="[$-409]d\-mmm;@"/>
    <numFmt numFmtId="178" formatCode="_ * #,##0_ ;_ * \-#,##0_ ;_ * &quot;-&quot;??_ ;_ @_ "/>
    <numFmt numFmtId="179" formatCode="0.00_);[Red]\(0.00\)"/>
    <numFmt numFmtId="180" formatCode="#,##0_ "/>
    <numFmt numFmtId="181" formatCode="[$£-809]#,##0.00_);[Red]\([$£-809]#,##0.00\)"/>
    <numFmt numFmtId="182" formatCode="yyyy\-m\-d"/>
    <numFmt numFmtId="183" formatCode="0_);[Red]\(0\)"/>
    <numFmt numFmtId="184" formatCode="&quot;$&quot;#,##0.00_);[Red]\(&quot;$&quot;#,##0.00\)"/>
    <numFmt numFmtId="185" formatCode="m/d/yyyy"/>
  </numFmts>
  <fonts count="40">
    <font>
      <sz val="12"/>
      <color theme="1"/>
      <name val="Calibri"/>
      <charset val="134"/>
      <scheme val="minor"/>
    </font>
    <font>
      <b/>
      <sz val="10"/>
      <color rgb="FF000000"/>
      <name val="Tahoma"/>
      <charset val="134"/>
    </font>
    <font>
      <sz val="10"/>
      <color rgb="FF000000"/>
      <name val="Tahoma"/>
      <charset val="134"/>
    </font>
    <font>
      <sz val="10"/>
      <color rgb="FF000000"/>
      <name val="Verdana"/>
      <charset val="134"/>
    </font>
    <font>
      <b/>
      <sz val="10"/>
      <color rgb="FF000000"/>
      <name val="Verdana"/>
      <charset val="134"/>
    </font>
    <font>
      <b/>
      <sz val="9"/>
      <color rgb="FF000000"/>
      <name val="Tahoma"/>
      <charset val="134"/>
    </font>
    <font>
      <b/>
      <sz val="9"/>
      <color rgb="FF000000"/>
      <name val="微软雅黑"/>
      <charset val="134"/>
    </font>
    <font>
      <sz val="9"/>
      <color rgb="FF000000"/>
      <name val="微软雅黑"/>
      <charset val="134"/>
    </font>
    <font>
      <sz val="12"/>
      <color rgb="FF000000"/>
      <name val="等线"/>
      <charset val="134"/>
    </font>
    <font>
      <b/>
      <sz val="9"/>
      <color rgb="FFFFFFFF"/>
      <name val="微软雅黑"/>
      <charset val="134"/>
    </font>
    <font>
      <sz val="9"/>
      <color rgb="FF000000"/>
      <name val="Tahoma"/>
      <charset val="134"/>
    </font>
    <font>
      <sz val="10"/>
      <name val="Calibri"/>
      <charset val="134"/>
    </font>
    <font>
      <sz val="9"/>
      <name val="微软雅黑"/>
      <charset val="134"/>
    </font>
    <font>
      <sz val="9"/>
      <color theme="1"/>
      <name val="微软雅黑"/>
      <charset val="134"/>
    </font>
    <font>
      <b/>
      <sz val="12"/>
      <color rgb="FF000000"/>
      <name val="等线"/>
      <charset val="134"/>
    </font>
    <font>
      <b/>
      <sz val="10"/>
      <color rgb="FFFFFFFF"/>
      <name val="Tahoma"/>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color rgb="FF000000"/>
      <name val="Arial"/>
      <charset val="134"/>
    </font>
    <font>
      <b/>
      <sz val="10"/>
      <color rgb="FF000000"/>
      <name val="Arial"/>
      <charset val="134"/>
    </font>
    <font>
      <sz val="10"/>
      <color rgb="FF000000"/>
      <name val="微软雅黑"/>
      <charset val="134"/>
    </font>
    <font>
      <sz val="10"/>
      <color rgb="FF000000"/>
      <name val="宋体"/>
      <charset val="134"/>
    </font>
  </fonts>
  <fills count="45">
    <fill>
      <patternFill patternType="none"/>
    </fill>
    <fill>
      <patternFill patternType="gray125"/>
    </fill>
    <fill>
      <patternFill patternType="solid">
        <fgColor rgb="FFCCFFFF"/>
        <bgColor indexed="64"/>
      </patternFill>
    </fill>
    <fill>
      <patternFill patternType="solid">
        <fgColor rgb="FFFFF2CB"/>
        <bgColor indexed="64"/>
      </patternFill>
    </fill>
    <fill>
      <patternFill patternType="solid">
        <fgColor rgb="FFFFFFFF"/>
        <bgColor indexed="64"/>
      </patternFill>
    </fill>
    <fill>
      <patternFill patternType="solid">
        <fgColor rgb="FF2F5496"/>
        <bgColor indexed="64"/>
      </patternFill>
    </fill>
    <fill>
      <patternFill patternType="solid">
        <fgColor rgb="FF385623"/>
        <bgColor indexed="64"/>
      </patternFill>
    </fill>
    <fill>
      <patternFill patternType="solid">
        <fgColor rgb="FF7F6000"/>
        <bgColor indexed="64"/>
      </patternFill>
    </fill>
    <fill>
      <patternFill patternType="solid">
        <fgColor rgb="FF7030A0"/>
        <bgColor indexed="64"/>
      </patternFill>
    </fill>
    <fill>
      <patternFill patternType="solid">
        <fgColor rgb="FF548135"/>
        <bgColor indexed="64"/>
      </patternFill>
    </fill>
    <fill>
      <patternFill patternType="solid">
        <fgColor rgb="FFE7E6E6"/>
        <bgColor indexed="64"/>
      </patternFill>
    </fill>
    <fill>
      <patternFill patternType="solid">
        <fgColor rgb="FFFFFF00"/>
        <bgColor indexed="64"/>
      </patternFill>
    </fill>
    <fill>
      <patternFill patternType="solid">
        <fgColor rgb="FFBDD7EE"/>
        <bgColor indexed="64"/>
      </patternFill>
    </fill>
    <fill>
      <patternFill patternType="solid">
        <fgColor rgb="FF1E4E7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74">
    <border>
      <left/>
      <right/>
      <top/>
      <bottom/>
      <diagonal/>
    </border>
    <border>
      <left style="thin">
        <color rgb="FF000000"/>
      </left>
      <right style="thin">
        <color rgb="FF000000"/>
      </right>
      <top style="thin">
        <color rgb="FF000000"/>
      </top>
      <bottom style="thin">
        <color rgb="FF000000"/>
      </bottom>
      <diagonal/>
    </border>
    <border>
      <left/>
      <right/>
      <top/>
      <bottom style="thick">
        <color rgb="FF000000"/>
      </bottom>
      <diagonal/>
    </border>
    <border>
      <left style="thin">
        <color rgb="FF000000"/>
      </left>
      <right style="thin">
        <color rgb="FF000000"/>
      </right>
      <top style="thin">
        <color rgb="FF000000"/>
      </top>
      <bottom/>
      <diagonal/>
    </border>
    <border>
      <left/>
      <right style="thick">
        <color rgb="FF000000"/>
      </right>
      <top/>
      <bottom/>
      <diagonal/>
    </border>
    <border>
      <left style="thick">
        <color rgb="FF000000"/>
      </left>
      <right style="thin">
        <color rgb="FF000000"/>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style="thick">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ck">
        <color rgb="FF000000"/>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style="thick">
        <color rgb="FF000000"/>
      </left>
      <right style="thick">
        <color rgb="FF000000"/>
      </right>
      <top style="thin">
        <color rgb="FF000000"/>
      </top>
      <bottom style="thick">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right/>
      <top/>
      <bottom style="thin">
        <color rgb="FFD0CECE"/>
      </bottom>
      <diagonal/>
    </border>
    <border>
      <left style="thin">
        <color rgb="FF000000"/>
      </left>
      <right/>
      <top/>
      <bottom style="thin">
        <color rgb="FFD0CECE"/>
      </bottom>
      <diagonal/>
    </border>
    <border>
      <left/>
      <right style="thin">
        <color rgb="FF000000"/>
      </right>
      <top/>
      <bottom style="thin">
        <color rgb="FFD0CECE"/>
      </bottom>
      <diagonal/>
    </border>
    <border>
      <left style="thin">
        <color rgb="FF000000"/>
      </left>
      <right style="thin">
        <color rgb="FFD8D8D8"/>
      </right>
      <top style="thin">
        <color rgb="FFD8D8D8"/>
      </top>
      <bottom style="thin">
        <color rgb="FFD8D8D8"/>
      </bottom>
      <diagonal/>
    </border>
    <border>
      <left style="thin">
        <color rgb="FFD8D8D8"/>
      </left>
      <right style="thin">
        <color rgb="FF000000"/>
      </right>
      <top style="thin">
        <color rgb="FFD8D8D8"/>
      </top>
      <bottom style="thin">
        <color rgb="FFD8D8D8"/>
      </bottom>
      <diagonal/>
    </border>
    <border>
      <left/>
      <right style="thin">
        <color rgb="FFE7E6E6"/>
      </right>
      <top style="thin">
        <color rgb="FFD0CECE"/>
      </top>
      <bottom style="thin">
        <color rgb="FFD0CECE"/>
      </bottom>
      <diagonal/>
    </border>
    <border>
      <left style="thin">
        <color rgb="FFE7E6E6"/>
      </left>
      <right style="thin">
        <color rgb="FFE7E6E6"/>
      </right>
      <top style="thin">
        <color rgb="FFD0CECE"/>
      </top>
      <bottom style="thin">
        <color rgb="FFD0CECE"/>
      </bottom>
      <diagonal/>
    </border>
    <border>
      <left style="thin">
        <color rgb="FFE7E6E6"/>
      </left>
      <right/>
      <top style="thin">
        <color rgb="FFD0CECE"/>
      </top>
      <bottom style="thin">
        <color rgb="FFD0CECE"/>
      </bottom>
      <diagonal/>
    </border>
    <border>
      <left style="thin">
        <color rgb="FF000000"/>
      </left>
      <right style="thin">
        <color rgb="FFE7E6E6"/>
      </right>
      <top style="thin">
        <color rgb="FFD0CECE"/>
      </top>
      <bottom style="thin">
        <color rgb="FFD0CECE"/>
      </bottom>
      <diagonal/>
    </border>
    <border>
      <left style="thin">
        <color rgb="FFE7E6E6"/>
      </left>
      <right style="thin">
        <color rgb="FF000000"/>
      </right>
      <top style="thin">
        <color rgb="FFD0CECE"/>
      </top>
      <bottom style="thin">
        <color rgb="FFD0CECE"/>
      </bottom>
      <diagonal/>
    </border>
    <border>
      <left style="thin">
        <color rgb="FF000000"/>
      </left>
      <right style="thin">
        <color rgb="FFD0CECE"/>
      </right>
      <top style="thin">
        <color rgb="FFD0CECE"/>
      </top>
      <bottom style="thin">
        <color rgb="FFD0CECE"/>
      </bottom>
      <diagonal/>
    </border>
    <border>
      <left style="thin">
        <color rgb="FFD0CECE"/>
      </left>
      <right style="thin">
        <color rgb="FFD0CECE"/>
      </right>
      <top style="thin">
        <color rgb="FFD0CECE"/>
      </top>
      <bottom style="thin">
        <color rgb="FFD0CECE"/>
      </bottom>
      <diagonal/>
    </border>
    <border>
      <left/>
      <right/>
      <top style="thin">
        <color rgb="FFD0CECE"/>
      </top>
      <bottom style="thin">
        <color rgb="FFD0CECE"/>
      </bottom>
      <diagonal/>
    </border>
    <border>
      <left/>
      <right style="thin">
        <color rgb="FF000000"/>
      </right>
      <top style="thin">
        <color rgb="FFD0CECE"/>
      </top>
      <bottom style="thin">
        <color rgb="FFD0CECE"/>
      </bottom>
      <diagonal/>
    </border>
    <border>
      <left style="thin">
        <color rgb="FF000000"/>
      </left>
      <right style="thin">
        <color rgb="FF000000"/>
      </right>
      <top style="thin">
        <color rgb="FFD0CECE"/>
      </top>
      <bottom style="thin">
        <color rgb="FFD0CECE"/>
      </bottom>
      <diagonal/>
    </border>
    <border>
      <left/>
      <right style="thin">
        <color rgb="FFD0CECE"/>
      </right>
      <top style="thin">
        <color rgb="FFD0CECE"/>
      </top>
      <bottom style="thin">
        <color rgb="FFD0CECE"/>
      </bottom>
      <diagonal/>
    </border>
    <border>
      <left style="thin">
        <color rgb="FFD0CECE"/>
      </left>
      <right/>
      <top style="thin">
        <color rgb="FFD0CECE"/>
      </top>
      <bottom style="thin">
        <color rgb="FFD0CECE"/>
      </bottom>
      <diagonal/>
    </border>
    <border>
      <left style="thin">
        <color rgb="FFD8D8D8"/>
      </left>
      <right style="thin">
        <color rgb="FFD8D8D8"/>
      </right>
      <top style="thin">
        <color rgb="FFD8D8D8"/>
      </top>
      <bottom style="thin">
        <color rgb="FFD8D8D8"/>
      </bottom>
      <diagonal/>
    </border>
    <border>
      <left/>
      <right/>
      <top/>
      <bottom style="thin">
        <color rgb="FFD8D8D8"/>
      </bottom>
      <diagonal/>
    </border>
    <border>
      <left style="thin">
        <color rgb="FF000000"/>
      </left>
      <right style="thin">
        <color rgb="FF000000"/>
      </right>
      <top/>
      <bottom style="thin">
        <color rgb="FFD0CECE"/>
      </bottom>
      <diagonal/>
    </border>
    <border>
      <left style="thin">
        <color rgb="FFE7E6E6"/>
      </left>
      <right/>
      <top style="thin">
        <color rgb="FFD0CECE"/>
      </top>
      <bottom/>
      <diagonal/>
    </border>
    <border>
      <left style="thin">
        <color auto="1"/>
      </left>
      <right style="thin">
        <color rgb="FFE7E6E6"/>
      </right>
      <top style="thin">
        <color rgb="FFD0CECE"/>
      </top>
      <bottom style="thin">
        <color rgb="FFD0CECE"/>
      </bottom>
      <diagonal/>
    </border>
    <border>
      <left/>
      <right style="thin">
        <color auto="1"/>
      </right>
      <top style="thin">
        <color rgb="FFD0CECE"/>
      </top>
      <bottom style="thin">
        <color rgb="FFD0CECE"/>
      </bottom>
      <diagonal/>
    </border>
    <border>
      <left style="thin">
        <color rgb="FFE7E6E6"/>
      </left>
      <right style="thin">
        <color auto="1"/>
      </right>
      <top/>
      <bottom style="thin">
        <color rgb="FFD0CECE"/>
      </bottom>
      <diagonal/>
    </border>
    <border>
      <left style="thin">
        <color rgb="FFE7E6E6"/>
      </left>
      <right style="thin">
        <color auto="1"/>
      </right>
      <top style="thin">
        <color rgb="FFD0CECE"/>
      </top>
      <bottom style="thin">
        <color rgb="FFD0CECE"/>
      </bottom>
      <diagonal/>
    </border>
    <border>
      <left/>
      <right style="thin">
        <color rgb="FFAEABAB"/>
      </right>
      <top style="thin">
        <color rgb="FF000000"/>
      </top>
      <bottom/>
      <diagonal/>
    </border>
    <border>
      <left style="thin">
        <color rgb="FFAEABAB"/>
      </left>
      <right/>
      <top/>
      <bottom style="thin">
        <color rgb="FFAEABAB"/>
      </bottom>
      <diagonal/>
    </border>
    <border>
      <left/>
      <right/>
      <top/>
      <bottom style="thin">
        <color rgb="FFAEABAB"/>
      </bottom>
      <diagonal/>
    </border>
    <border>
      <left/>
      <right style="thin">
        <color rgb="FF000000"/>
      </right>
      <top/>
      <bottom style="thin">
        <color rgb="FFAEABAB"/>
      </bottom>
      <diagonal/>
    </border>
    <border>
      <left style="thin">
        <color rgb="FF000000"/>
      </left>
      <right/>
      <top/>
      <bottom style="thin">
        <color rgb="FFAEABAB"/>
      </bottom>
      <diagonal/>
    </border>
    <border>
      <left/>
      <right style="thin">
        <color rgb="FFAEABAB"/>
      </right>
      <top/>
      <bottom style="thin">
        <color rgb="FFAEABAB"/>
      </bottom>
      <diagonal/>
    </border>
    <border>
      <left style="thin">
        <color rgb="FFAEABAB"/>
      </left>
      <right style="thin">
        <color rgb="FFAEABAB"/>
      </right>
      <top/>
      <bottom style="thin">
        <color rgb="FFAEABAB"/>
      </bottom>
      <diagonal/>
    </border>
    <border>
      <left style="thin">
        <color rgb="FFAEABAB"/>
      </left>
      <right style="thin">
        <color rgb="FFAEABAB"/>
      </right>
      <top style="thin">
        <color rgb="FFAEABAB"/>
      </top>
      <bottom style="thin">
        <color rgb="FFAEABAB"/>
      </bottom>
      <diagonal/>
    </border>
    <border>
      <left style="thin">
        <color rgb="FFAEABAB"/>
      </left>
      <right style="thin">
        <color rgb="FF000000"/>
      </right>
      <top style="thin">
        <color rgb="FFAEABAB"/>
      </top>
      <bottom style="thin">
        <color rgb="FFAEABAB"/>
      </bottom>
      <diagonal/>
    </border>
    <border>
      <left style="thin">
        <color rgb="FF000000"/>
      </left>
      <right style="thin">
        <color rgb="FFAEABAB"/>
      </right>
      <top style="thin">
        <color rgb="FFAEABAB"/>
      </top>
      <bottom style="thin">
        <color rgb="FFAEABAB"/>
      </bottom>
      <diagonal/>
    </border>
    <border>
      <left style="thin">
        <color rgb="FFAEABAB"/>
      </left>
      <right/>
      <top style="thin">
        <color rgb="FFAEABAB"/>
      </top>
      <bottom style="thin">
        <color rgb="FFAEABAB"/>
      </bottom>
      <diagonal/>
    </border>
    <border>
      <left style="thin">
        <color rgb="FF000000"/>
      </left>
      <right style="thin">
        <color rgb="FFAEABAB"/>
      </right>
      <top style="thin">
        <color rgb="FFAEABAB"/>
      </top>
      <bottom/>
      <diagonal/>
    </border>
    <border>
      <left style="thin">
        <color rgb="FFAEABAB"/>
      </left>
      <right style="thin">
        <color rgb="FFAEABAB"/>
      </right>
      <top style="thin">
        <color rgb="FFAEABAB"/>
      </top>
      <bottom/>
      <diagonal/>
    </border>
    <border>
      <left style="thin">
        <color rgb="FFAEABAB"/>
      </left>
      <right style="thin">
        <color rgb="FF000000"/>
      </right>
      <top style="thin">
        <color rgb="FFAEABAB"/>
      </top>
      <bottom/>
      <diagonal/>
    </border>
    <border>
      <left style="thin">
        <color rgb="FF000000"/>
      </left>
      <right style="thin">
        <color rgb="FFAEABAB"/>
      </right>
      <top/>
      <bottom/>
      <diagonal/>
    </border>
    <border>
      <left style="thin">
        <color rgb="FFAEABAB"/>
      </left>
      <right style="thin">
        <color rgb="FFAEABAB"/>
      </right>
      <top/>
      <bottom/>
      <diagonal/>
    </border>
    <border>
      <left style="thin">
        <color rgb="FFAEABAB"/>
      </left>
      <right/>
      <top/>
      <bottom/>
      <diagonal/>
    </border>
    <border>
      <left style="thin">
        <color rgb="FF000000"/>
      </left>
      <right style="thin">
        <color rgb="FFAEABAB"/>
      </right>
      <top/>
      <bottom style="thin">
        <color rgb="FFAEABAB"/>
      </bottom>
      <diagonal/>
    </border>
    <border>
      <left style="thin">
        <color rgb="FF000000"/>
      </left>
      <right style="thin">
        <color rgb="FFAEABAB"/>
      </right>
      <top style="thin">
        <color rgb="FFAEABAB"/>
      </top>
      <bottom style="thin">
        <color rgb="FF000000"/>
      </bottom>
      <diagonal/>
    </border>
    <border>
      <left style="thin">
        <color rgb="FFAEABAB"/>
      </left>
      <right style="thin">
        <color rgb="FFAEABAB"/>
      </right>
      <top style="thin">
        <color rgb="FFAEABAB"/>
      </top>
      <bottom style="thin">
        <color rgb="FF000000"/>
      </bottom>
      <diagonal/>
    </border>
    <border>
      <left style="thin">
        <color rgb="FFAEABAB"/>
      </left>
      <right/>
      <top style="thin">
        <color rgb="FFAEABAB"/>
      </top>
      <bottom style="thin">
        <color rgb="FF000000"/>
      </bottom>
      <diagonal/>
    </border>
    <border>
      <left style="thin">
        <color rgb="FFAEABAB"/>
      </left>
      <right style="thin">
        <color rgb="FF000000"/>
      </right>
      <top style="thin">
        <color rgb="FFAEABAB"/>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6" fillId="0" borderId="0" applyFont="0" applyFill="0" applyBorder="0" applyAlignment="0" applyProtection="0">
      <alignment vertical="center"/>
    </xf>
    <xf numFmtId="44" fontId="16" fillId="0" borderId="0" applyFont="0" applyFill="0" applyBorder="0" applyAlignment="0" applyProtection="0">
      <alignment vertical="center"/>
    </xf>
    <xf numFmtId="9" fontId="16" fillId="0" borderId="0" applyFont="0" applyFill="0" applyBorder="0" applyAlignment="0" applyProtection="0">
      <alignment vertical="center"/>
    </xf>
    <xf numFmtId="41" fontId="16" fillId="0" borderId="0" applyFont="0" applyFill="0" applyBorder="0" applyAlignment="0" applyProtection="0">
      <alignment vertical="center"/>
    </xf>
    <xf numFmtId="42" fontId="16"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6" fillId="14" borderId="66"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67" applyNumberFormat="0" applyFill="0" applyAlignment="0" applyProtection="0">
      <alignment vertical="center"/>
    </xf>
    <xf numFmtId="0" fontId="23" fillId="0" borderId="67" applyNumberFormat="0" applyFill="0" applyAlignment="0" applyProtection="0">
      <alignment vertical="center"/>
    </xf>
    <xf numFmtId="0" fontId="24" fillId="0" borderId="68" applyNumberFormat="0" applyFill="0" applyAlignment="0" applyProtection="0">
      <alignment vertical="center"/>
    </xf>
    <xf numFmtId="0" fontId="24" fillId="0" borderId="0" applyNumberFormat="0" applyFill="0" applyBorder="0" applyAlignment="0" applyProtection="0">
      <alignment vertical="center"/>
    </xf>
    <xf numFmtId="0" fontId="25" fillId="15" borderId="69" applyNumberFormat="0" applyAlignment="0" applyProtection="0">
      <alignment vertical="center"/>
    </xf>
    <xf numFmtId="0" fontId="26" fillId="16" borderId="70" applyNumberFormat="0" applyAlignment="0" applyProtection="0">
      <alignment vertical="center"/>
    </xf>
    <xf numFmtId="0" fontId="27" fillId="16" borderId="69" applyNumberFormat="0" applyAlignment="0" applyProtection="0">
      <alignment vertical="center"/>
    </xf>
    <xf numFmtId="0" fontId="28" fillId="17" borderId="71" applyNumberFormat="0" applyAlignment="0" applyProtection="0">
      <alignment vertical="center"/>
    </xf>
    <xf numFmtId="0" fontId="29" fillId="0" borderId="72" applyNumberFormat="0" applyFill="0" applyAlignment="0" applyProtection="0">
      <alignment vertical="center"/>
    </xf>
    <xf numFmtId="0" fontId="30" fillId="0" borderId="73" applyNumberFormat="0" applyFill="0" applyAlignment="0" applyProtection="0">
      <alignment vertical="center"/>
    </xf>
    <xf numFmtId="0" fontId="31" fillId="18" borderId="0" applyNumberFormat="0" applyBorder="0" applyAlignment="0" applyProtection="0">
      <alignment vertical="center"/>
    </xf>
    <xf numFmtId="0" fontId="32" fillId="19" borderId="0" applyNumberFormat="0" applyBorder="0" applyAlignment="0" applyProtection="0">
      <alignment vertical="center"/>
    </xf>
    <xf numFmtId="0" fontId="33"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34" fillId="37" borderId="0" applyNumberFormat="0" applyBorder="0" applyAlignment="0" applyProtection="0">
      <alignment vertical="center"/>
    </xf>
    <xf numFmtId="0" fontId="35" fillId="38" borderId="0" applyNumberFormat="0" applyBorder="0" applyAlignment="0" applyProtection="0">
      <alignment vertical="center"/>
    </xf>
    <xf numFmtId="0" fontId="35" fillId="39" borderId="0" applyNumberFormat="0" applyBorder="0" applyAlignment="0" applyProtection="0">
      <alignment vertical="center"/>
    </xf>
    <xf numFmtId="0" fontId="34" fillId="40" borderId="0" applyNumberFormat="0" applyBorder="0" applyAlignment="0" applyProtection="0">
      <alignment vertical="center"/>
    </xf>
    <xf numFmtId="0" fontId="34" fillId="41" borderId="0" applyNumberFormat="0" applyBorder="0" applyAlignment="0" applyProtection="0">
      <alignment vertical="center"/>
    </xf>
    <xf numFmtId="0" fontId="35" fillId="42" borderId="0" applyNumberFormat="0" applyBorder="0" applyAlignment="0" applyProtection="0">
      <alignment vertical="center"/>
    </xf>
    <xf numFmtId="0" fontId="35" fillId="43" borderId="0" applyNumberFormat="0" applyBorder="0" applyAlignment="0" applyProtection="0">
      <alignment vertical="center"/>
    </xf>
    <xf numFmtId="0" fontId="34" fillId="44" borderId="0" applyNumberFormat="0" applyBorder="0" applyAlignment="0" applyProtection="0">
      <alignment vertical="center"/>
    </xf>
  </cellStyleXfs>
  <cellXfs count="186">
    <xf numFmtId="0" fontId="0" fillId="0" borderId="0" xfId="0">
      <alignment vertical="center"/>
    </xf>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1" fillId="0" borderId="1" xfId="0" applyFont="1" applyBorder="1" applyAlignment="1">
      <alignment horizontal="center" vertical="center" wrapText="1"/>
    </xf>
    <xf numFmtId="0" fontId="3" fillId="0" borderId="0" xfId="0" applyFont="1">
      <alignment vertical="center"/>
    </xf>
    <xf numFmtId="0" fontId="4" fillId="0" borderId="0" xfId="0" applyFont="1" applyAlignment="1">
      <alignment horizontal="center" vertical="center" wrapText="1"/>
    </xf>
    <xf numFmtId="0" fontId="2" fillId="0" borderId="1" xfId="0" applyFont="1" applyBorder="1" applyAlignment="1">
      <alignment horizontal="center" vertical="center" wrapText="1"/>
    </xf>
    <xf numFmtId="0" fontId="3" fillId="0" borderId="2" xfId="0" applyFont="1" applyBorder="1">
      <alignment vertical="center"/>
    </xf>
    <xf numFmtId="0" fontId="2" fillId="0" borderId="3" xfId="0" applyFont="1" applyBorder="1" applyAlignment="1">
      <alignment horizontal="center" vertical="center" wrapText="1"/>
    </xf>
    <xf numFmtId="0" fontId="3" fillId="0" borderId="4" xfId="0" applyFont="1" applyBorder="1">
      <alignment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3" fillId="2" borderId="7" xfId="0" applyFont="1" applyFill="1" applyBorder="1" applyAlignment="1">
      <alignment horizontal="center" vertical="center"/>
    </xf>
    <xf numFmtId="0" fontId="3" fillId="3" borderId="8" xfId="0" applyFont="1" applyFill="1" applyBorder="1">
      <alignment vertical="center"/>
    </xf>
    <xf numFmtId="0" fontId="3" fillId="0" borderId="9" xfId="0" applyFont="1" applyBorder="1">
      <alignment vertical="center"/>
    </xf>
    <xf numFmtId="0" fontId="3" fillId="3" borderId="10" xfId="0" applyFont="1" applyFill="1" applyBorder="1">
      <alignment vertical="center"/>
    </xf>
    <xf numFmtId="0" fontId="3" fillId="2" borderId="10" xfId="0" applyFont="1" applyFill="1" applyBorder="1">
      <alignment vertical="center"/>
    </xf>
    <xf numFmtId="0" fontId="2" fillId="0" borderId="11" xfId="0" applyFont="1" applyBorder="1" applyAlignment="1">
      <alignment horizontal="center" vertical="center" wrapText="1"/>
    </xf>
    <xf numFmtId="0" fontId="3" fillId="3" borderId="12" xfId="0" applyFont="1" applyFill="1" applyBorder="1">
      <alignment vertical="center"/>
    </xf>
    <xf numFmtId="0" fontId="3" fillId="0" borderId="13" xfId="0" applyFont="1" applyBorder="1">
      <alignment vertical="center"/>
    </xf>
    <xf numFmtId="0" fontId="3" fillId="3" borderId="14" xfId="0" applyFont="1" applyFill="1" applyBorder="1">
      <alignment vertical="center"/>
    </xf>
    <xf numFmtId="0" fontId="3" fillId="2" borderId="14" xfId="0" applyFont="1" applyFill="1" applyBorder="1">
      <alignment vertical="center"/>
    </xf>
    <xf numFmtId="0" fontId="5" fillId="0" borderId="1" xfId="0" applyFont="1" applyBorder="1" applyAlignment="1">
      <alignment horizontal="left" vertical="center" wrapText="1"/>
    </xf>
    <xf numFmtId="0" fontId="6" fillId="0" borderId="15" xfId="0" applyFont="1" applyBorder="1" applyAlignment="1">
      <alignment vertical="center" wrapText="1"/>
    </xf>
    <xf numFmtId="0" fontId="5" fillId="0" borderId="1" xfId="0" applyFont="1" applyBorder="1" applyAlignment="1">
      <alignment horizontal="center" vertical="center" wrapText="1"/>
    </xf>
    <xf numFmtId="0" fontId="7" fillId="0" borderId="16" xfId="0" applyFont="1" applyBorder="1" applyAlignment="1">
      <alignment vertical="center" wrapText="1"/>
    </xf>
    <xf numFmtId="0" fontId="7" fillId="0" borderId="1" xfId="0" applyFont="1" applyBorder="1" applyAlignment="1">
      <alignment vertical="center" wrapText="1"/>
    </xf>
    <xf numFmtId="176" fontId="7" fillId="0" borderId="1" xfId="0" applyNumberFormat="1" applyFont="1" applyBorder="1" applyAlignment="1">
      <alignment vertical="center" wrapText="1"/>
    </xf>
    <xf numFmtId="0" fontId="4" fillId="0" borderId="1" xfId="0" applyFont="1" applyBorder="1" applyAlignment="1">
      <alignment horizontal="center" vertical="center" wrapText="1"/>
    </xf>
    <xf numFmtId="0" fontId="4" fillId="2" borderId="1" xfId="0" applyFont="1" applyFill="1" applyBorder="1" applyAlignment="1">
      <alignment horizontal="center" vertical="center" wrapText="1"/>
    </xf>
    <xf numFmtId="0" fontId="7" fillId="0" borderId="17" xfId="0" applyFont="1" applyBorder="1" applyAlignment="1">
      <alignment vertical="center" wrapText="1"/>
    </xf>
    <xf numFmtId="0" fontId="7" fillId="0" borderId="3" xfId="0" applyFont="1" applyBorder="1" applyAlignment="1">
      <alignment vertical="center" wrapText="1"/>
    </xf>
    <xf numFmtId="176" fontId="7" fillId="0" borderId="3" xfId="0" applyNumberFormat="1" applyFont="1" applyBorder="1" applyAlignment="1">
      <alignment vertical="center" wrapText="1"/>
    </xf>
    <xf numFmtId="0" fontId="3" fillId="0" borderId="1" xfId="0" applyFont="1" applyBorder="1" applyAlignment="1">
      <alignment horizontal="center" vertical="center" wrapText="1"/>
    </xf>
    <xf numFmtId="0" fontId="7" fillId="0" borderId="1" xfId="0" applyFont="1" applyBorder="1" applyAlignment="1">
      <alignment horizontal="left" vertical="center" wrapText="1"/>
    </xf>
    <xf numFmtId="0" fontId="2" fillId="0" borderId="1" xfId="0" applyFont="1" applyBorder="1" applyAlignment="1">
      <alignment horizontal="left" vertical="center" wrapText="1"/>
    </xf>
    <xf numFmtId="0" fontId="7" fillId="0" borderId="11" xfId="0" applyFont="1" applyBorder="1" applyAlignment="1">
      <alignment vertical="center" wrapText="1"/>
    </xf>
    <xf numFmtId="0" fontId="7" fillId="0" borderId="15" xfId="0" applyFont="1" applyBorder="1" applyAlignment="1">
      <alignment vertical="center" wrapText="1"/>
    </xf>
    <xf numFmtId="0" fontId="2" fillId="0" borderId="18" xfId="0" applyFont="1" applyBorder="1" applyAlignment="1">
      <alignment horizontal="center" vertical="center" wrapText="1"/>
    </xf>
    <xf numFmtId="0" fontId="7" fillId="4" borderId="0" xfId="0" applyFont="1" applyFill="1" applyAlignment="1">
      <alignment horizontal="center" vertical="center" wrapText="1"/>
    </xf>
    <xf numFmtId="0" fontId="7" fillId="0" borderId="0" xfId="0" applyFont="1" applyAlignment="1">
      <alignment horizontal="center" vertical="center" wrapText="1"/>
    </xf>
    <xf numFmtId="177" fontId="7" fillId="0" borderId="0" xfId="0" applyNumberFormat="1" applyFont="1" applyAlignment="1">
      <alignment horizontal="center" vertical="center" wrapText="1"/>
    </xf>
    <xf numFmtId="178" fontId="7" fillId="0" borderId="0" xfId="0" applyNumberFormat="1" applyFont="1" applyAlignment="1">
      <alignment horizontal="center" vertical="center" wrapText="1"/>
    </xf>
    <xf numFmtId="179" fontId="7" fillId="0" borderId="0" xfId="0" applyNumberFormat="1" applyFont="1" applyAlignment="1">
      <alignment horizontal="center" vertical="center" wrapText="1"/>
    </xf>
    <xf numFmtId="0" fontId="8" fillId="0" borderId="0" xfId="0" applyFont="1" applyAlignment="1">
      <alignment vertical="center" wrapText="1"/>
    </xf>
    <xf numFmtId="178" fontId="9" fillId="5" borderId="19" xfId="0" applyNumberFormat="1" applyFont="1" applyFill="1" applyBorder="1" applyAlignment="1">
      <alignment horizontal="center" vertical="center" wrapText="1"/>
    </xf>
    <xf numFmtId="178" fontId="9" fillId="5" borderId="20" xfId="0" applyNumberFormat="1" applyFont="1" applyFill="1" applyBorder="1" applyAlignment="1">
      <alignment horizontal="center" vertical="center" wrapText="1"/>
    </xf>
    <xf numFmtId="178" fontId="9" fillId="5" borderId="21" xfId="0" applyNumberFormat="1"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21" xfId="0" applyFont="1" applyFill="1" applyBorder="1" applyAlignment="1">
      <alignment horizontal="center" vertical="center" wrapText="1"/>
    </xf>
    <xf numFmtId="178" fontId="9" fillId="7" borderId="20" xfId="0" applyNumberFormat="1" applyFont="1" applyFill="1" applyBorder="1" applyAlignment="1">
      <alignment horizontal="center" vertical="center" wrapText="1"/>
    </xf>
    <xf numFmtId="178" fontId="9" fillId="7" borderId="19" xfId="0" applyNumberFormat="1" applyFont="1" applyFill="1" applyBorder="1" applyAlignment="1">
      <alignment horizontal="center" vertical="center" wrapText="1"/>
    </xf>
    <xf numFmtId="178" fontId="9" fillId="7" borderId="21" xfId="0" applyNumberFormat="1" applyFont="1" applyFill="1" applyBorder="1" applyAlignment="1">
      <alignment horizontal="center" vertical="center" wrapText="1"/>
    </xf>
    <xf numFmtId="0" fontId="9" fillId="8" borderId="20" xfId="0" applyFont="1" applyFill="1" applyBorder="1" applyAlignment="1">
      <alignment horizontal="center" vertical="center" wrapText="1"/>
    </xf>
    <xf numFmtId="0" fontId="9" fillId="8" borderId="19" xfId="0" applyFont="1" applyFill="1" applyBorder="1" applyAlignment="1">
      <alignment horizontal="center" vertical="center" wrapText="1"/>
    </xf>
    <xf numFmtId="178" fontId="9" fillId="9" borderId="22" xfId="0" applyNumberFormat="1" applyFont="1" applyFill="1" applyBorder="1" applyAlignment="1">
      <alignment horizontal="center" vertical="center" wrapText="1"/>
    </xf>
    <xf numFmtId="178" fontId="9" fillId="9" borderId="23" xfId="0" applyNumberFormat="1" applyFont="1" applyFill="1" applyBorder="1" applyAlignment="1">
      <alignment horizontal="center" vertical="center" wrapText="1"/>
    </xf>
    <xf numFmtId="0" fontId="9" fillId="5" borderId="24" xfId="0" applyFont="1" applyFill="1" applyBorder="1" applyAlignment="1">
      <alignment horizontal="center" vertical="center" wrapText="1"/>
    </xf>
    <xf numFmtId="0" fontId="9" fillId="5" borderId="25" xfId="0" applyFont="1" applyFill="1" applyBorder="1" applyAlignment="1">
      <alignment horizontal="center" vertical="center" wrapText="1"/>
    </xf>
    <xf numFmtId="0" fontId="9" fillId="5" borderId="26" xfId="0" applyFont="1" applyFill="1" applyBorder="1" applyAlignment="1">
      <alignment horizontal="center" vertical="center" wrapText="1"/>
    </xf>
    <xf numFmtId="0" fontId="9" fillId="5" borderId="27" xfId="0" applyFont="1" applyFill="1" applyBorder="1" applyAlignment="1">
      <alignment horizontal="center" vertical="center" wrapText="1"/>
    </xf>
    <xf numFmtId="177" fontId="9" fillId="5" borderId="25" xfId="0" applyNumberFormat="1" applyFont="1" applyFill="1" applyBorder="1" applyAlignment="1">
      <alignment horizontal="center" vertical="center" wrapText="1"/>
    </xf>
    <xf numFmtId="178" fontId="9" fillId="5" borderId="28" xfId="0" applyNumberFormat="1" applyFont="1" applyFill="1" applyBorder="1" applyAlignment="1">
      <alignment horizontal="center" vertical="center" wrapText="1"/>
    </xf>
    <xf numFmtId="179" fontId="9" fillId="6" borderId="29" xfId="0" applyNumberFormat="1" applyFont="1" applyFill="1" applyBorder="1" applyAlignment="1">
      <alignment horizontal="center" vertical="center" wrapText="1"/>
    </xf>
    <xf numFmtId="179" fontId="9" fillId="6" borderId="30" xfId="0" applyNumberFormat="1" applyFont="1" applyFill="1" applyBorder="1" applyAlignment="1">
      <alignment horizontal="center" vertical="center" wrapText="1"/>
    </xf>
    <xf numFmtId="26" fontId="9" fillId="6" borderId="30" xfId="0" applyNumberFormat="1" applyFont="1" applyFill="1" applyBorder="1" applyAlignment="1">
      <alignment horizontal="center" vertical="center" wrapText="1"/>
    </xf>
    <xf numFmtId="180" fontId="9" fillId="6" borderId="30" xfId="0" applyNumberFormat="1" applyFont="1" applyFill="1" applyBorder="1" applyAlignment="1">
      <alignment horizontal="center" vertical="center" wrapText="1"/>
    </xf>
    <xf numFmtId="180" fontId="9" fillId="6" borderId="31" xfId="0" applyNumberFormat="1" applyFont="1" applyFill="1" applyBorder="1" applyAlignment="1">
      <alignment horizontal="center" vertical="center" wrapText="1"/>
    </xf>
    <xf numFmtId="0" fontId="9" fillId="6" borderId="32" xfId="0" applyFont="1" applyFill="1" applyBorder="1" applyAlignment="1">
      <alignment horizontal="center" vertical="center" wrapText="1"/>
    </xf>
    <xf numFmtId="178" fontId="9" fillId="7" borderId="33" xfId="0" applyNumberFormat="1" applyFont="1" applyFill="1" applyBorder="1" applyAlignment="1">
      <alignment horizontal="center" vertical="center" wrapText="1"/>
    </xf>
    <xf numFmtId="178" fontId="9" fillId="7" borderId="28" xfId="0" applyNumberFormat="1" applyFont="1" applyFill="1" applyBorder="1" applyAlignment="1">
      <alignment horizontal="center" vertical="center" wrapText="1"/>
    </xf>
    <xf numFmtId="178" fontId="9" fillId="7" borderId="26" xfId="0" applyNumberFormat="1" applyFont="1" applyFill="1" applyBorder="1" applyAlignment="1">
      <alignment horizontal="center" vertical="center" wrapText="1"/>
    </xf>
    <xf numFmtId="0" fontId="9" fillId="8" borderId="29" xfId="0" applyFont="1" applyFill="1" applyBorder="1" applyAlignment="1">
      <alignment horizontal="center" vertical="center" wrapText="1"/>
    </xf>
    <xf numFmtId="177" fontId="9" fillId="8" borderId="34" xfId="0" applyNumberFormat="1" applyFont="1" applyFill="1" applyBorder="1" applyAlignment="1">
      <alignment horizontal="center" vertical="center" wrapText="1"/>
    </xf>
    <xf numFmtId="0" fontId="9" fillId="8" borderId="35" xfId="0" applyFont="1" applyFill="1" applyBorder="1" applyAlignment="1">
      <alignment horizontal="center" vertical="center" wrapText="1"/>
    </xf>
    <xf numFmtId="177" fontId="9" fillId="9" borderId="23" xfId="0" applyNumberFormat="1" applyFont="1" applyFill="1" applyBorder="1" applyAlignment="1">
      <alignment horizontal="center" vertical="center" wrapText="1"/>
    </xf>
    <xf numFmtId="0" fontId="7" fillId="4" borderId="24" xfId="0" applyFont="1" applyFill="1" applyBorder="1" applyAlignment="1">
      <alignment horizontal="center" vertical="center" wrapText="1"/>
    </xf>
    <xf numFmtId="0" fontId="7" fillId="4" borderId="25" xfId="0" applyFont="1" applyFill="1" applyBorder="1" applyAlignment="1">
      <alignment horizontal="center" vertical="center" wrapText="1"/>
    </xf>
    <xf numFmtId="0" fontId="7" fillId="4" borderId="26" xfId="0" applyFont="1" applyFill="1" applyBorder="1" applyAlignment="1">
      <alignment horizontal="center" vertical="center" wrapText="1"/>
    </xf>
    <xf numFmtId="49" fontId="7" fillId="4" borderId="27" xfId="0" applyNumberFormat="1" applyFont="1" applyFill="1" applyBorder="1" applyAlignment="1">
      <alignment horizontal="center" vertical="center" wrapText="1"/>
    </xf>
    <xf numFmtId="49" fontId="7" fillId="4" borderId="25" xfId="0" applyNumberFormat="1" applyFont="1" applyFill="1" applyBorder="1" applyAlignment="1">
      <alignment horizontal="center" vertical="center" wrapText="1"/>
    </xf>
    <xf numFmtId="177" fontId="7" fillId="4" borderId="25" xfId="0" applyNumberFormat="1" applyFont="1" applyFill="1" applyBorder="1" applyAlignment="1">
      <alignment horizontal="center" vertical="center" wrapText="1"/>
    </xf>
    <xf numFmtId="14" fontId="7" fillId="4" borderId="26" xfId="0" applyNumberFormat="1" applyFont="1" applyFill="1" applyBorder="1" applyAlignment="1">
      <alignment horizontal="center" vertical="center" wrapText="1"/>
    </xf>
    <xf numFmtId="178" fontId="7" fillId="4" borderId="28" xfId="0" applyNumberFormat="1" applyFont="1" applyFill="1" applyBorder="1" applyAlignment="1">
      <alignment horizontal="center" vertical="center" wrapText="1"/>
    </xf>
    <xf numFmtId="179" fontId="7" fillId="4" borderId="22" xfId="0" applyNumberFormat="1" applyFont="1" applyFill="1" applyBorder="1" applyAlignment="1">
      <alignment horizontal="center" vertical="center" wrapText="1"/>
    </xf>
    <xf numFmtId="179" fontId="7" fillId="4" borderId="36" xfId="0" applyNumberFormat="1" applyFont="1" applyFill="1" applyBorder="1" applyAlignment="1">
      <alignment horizontal="center" vertical="center" wrapText="1"/>
    </xf>
    <xf numFmtId="179" fontId="7" fillId="10" borderId="36" xfId="0" applyNumberFormat="1" applyFont="1" applyFill="1" applyBorder="1" applyAlignment="1">
      <alignment horizontal="center" vertical="center" wrapText="1"/>
    </xf>
    <xf numFmtId="181" fontId="7" fillId="4" borderId="36" xfId="0" applyNumberFormat="1" applyFont="1" applyFill="1" applyBorder="1" applyAlignment="1">
      <alignment horizontal="center" vertical="center" wrapText="1"/>
    </xf>
    <xf numFmtId="0" fontId="7" fillId="4" borderId="36" xfId="0" applyFont="1" applyFill="1" applyBorder="1" applyAlignment="1">
      <alignment horizontal="center" vertical="center" wrapText="1"/>
    </xf>
    <xf numFmtId="0" fontId="7" fillId="4" borderId="23" xfId="0" applyFont="1" applyFill="1" applyBorder="1" applyAlignment="1">
      <alignment horizontal="center" vertical="center" wrapText="1"/>
    </xf>
    <xf numFmtId="0" fontId="7" fillId="4" borderId="27" xfId="0" applyFont="1" applyFill="1" applyBorder="1" applyAlignment="1">
      <alignment horizontal="center" vertical="center" wrapText="1"/>
    </xf>
    <xf numFmtId="14" fontId="7" fillId="4" borderId="25" xfId="0" applyNumberFormat="1" applyFont="1" applyFill="1" applyBorder="1" applyAlignment="1">
      <alignment horizontal="center" vertical="center" wrapText="1"/>
    </xf>
    <xf numFmtId="0" fontId="10" fillId="4" borderId="37" xfId="0" applyFont="1" applyFill="1" applyBorder="1">
      <alignment vertical="center"/>
    </xf>
    <xf numFmtId="0" fontId="7" fillId="4" borderId="29" xfId="0" applyFont="1" applyFill="1" applyBorder="1" applyAlignment="1">
      <alignment horizontal="center" vertical="center" wrapText="1"/>
    </xf>
    <xf numFmtId="177" fontId="7" fillId="4" borderId="34" xfId="0" applyNumberFormat="1" applyFont="1" applyFill="1" applyBorder="1" applyAlignment="1">
      <alignment horizontal="center" vertical="center" wrapText="1"/>
    </xf>
    <xf numFmtId="182" fontId="7" fillId="4" borderId="35" xfId="0" applyNumberFormat="1" applyFont="1" applyFill="1" applyBorder="1" applyAlignment="1">
      <alignment horizontal="center" vertical="center" wrapText="1"/>
    </xf>
    <xf numFmtId="0" fontId="7" fillId="4" borderId="22" xfId="0" applyFont="1" applyFill="1" applyBorder="1" applyAlignment="1">
      <alignment horizontal="center" vertical="center" wrapText="1"/>
    </xf>
    <xf numFmtId="177" fontId="7" fillId="4" borderId="23" xfId="0" applyNumberFormat="1" applyFont="1" applyFill="1" applyBorder="1" applyAlignment="1">
      <alignment horizontal="center" vertical="center" wrapText="1"/>
    </xf>
    <xf numFmtId="9" fontId="7" fillId="4" borderId="0" xfId="0" applyNumberFormat="1" applyFont="1" applyFill="1" applyAlignment="1">
      <alignment vertical="center" wrapText="1"/>
    </xf>
    <xf numFmtId="183" fontId="7" fillId="4" borderId="27" xfId="0" applyNumberFormat="1" applyFont="1" applyFill="1" applyBorder="1" applyAlignment="1">
      <alignment horizontal="center" vertical="center" wrapText="1"/>
    </xf>
    <xf numFmtId="9" fontId="7" fillId="4" borderId="25" xfId="0" applyNumberFormat="1" applyFont="1" applyFill="1" applyBorder="1" applyAlignment="1">
      <alignment horizontal="center" vertical="center" wrapText="1"/>
    </xf>
    <xf numFmtId="0" fontId="10" fillId="4" borderId="37" xfId="0" applyFont="1" applyFill="1" applyBorder="1" applyAlignment="1">
      <alignment vertical="center" wrapText="1"/>
    </xf>
    <xf numFmtId="177" fontId="7" fillId="4" borderId="36" xfId="0" applyNumberFormat="1" applyFont="1" applyFill="1" applyBorder="1" applyAlignment="1">
      <alignment horizontal="center" vertical="center" wrapText="1"/>
    </xf>
    <xf numFmtId="183" fontId="10" fillId="4" borderId="27" xfId="0" applyNumberFormat="1" applyFont="1" applyFill="1" applyBorder="1" applyAlignment="1">
      <alignment horizontal="center" vertical="center" wrapText="1"/>
    </xf>
    <xf numFmtId="9" fontId="10" fillId="4" borderId="25" xfId="0" applyNumberFormat="1" applyFont="1" applyFill="1" applyBorder="1" applyAlignment="1">
      <alignment horizontal="center" vertical="center" wrapText="1"/>
    </xf>
    <xf numFmtId="0" fontId="10" fillId="4" borderId="25" xfId="0" applyFont="1" applyFill="1" applyBorder="1" applyAlignment="1">
      <alignment horizontal="center" vertical="center" wrapText="1"/>
    </xf>
    <xf numFmtId="0" fontId="10" fillId="4" borderId="26" xfId="0" applyFont="1" applyFill="1" applyBorder="1" applyAlignment="1">
      <alignment horizontal="center" vertical="center" wrapText="1"/>
    </xf>
    <xf numFmtId="1" fontId="7" fillId="4" borderId="28" xfId="0" applyNumberFormat="1" applyFont="1" applyFill="1" applyBorder="1" applyAlignment="1">
      <alignment vertical="center" wrapText="1"/>
    </xf>
    <xf numFmtId="0" fontId="11" fillId="0" borderId="0" xfId="0" applyFont="1">
      <alignment vertical="center"/>
    </xf>
    <xf numFmtId="178" fontId="9" fillId="5" borderId="38" xfId="0" applyNumberFormat="1" applyFont="1" applyFill="1" applyBorder="1" applyAlignment="1">
      <alignment horizontal="center" vertical="center" wrapText="1"/>
    </xf>
    <xf numFmtId="0" fontId="11" fillId="0" borderId="19" xfId="0" applyFont="1" applyBorder="1">
      <alignment vertical="center"/>
    </xf>
    <xf numFmtId="0" fontId="11" fillId="0" borderId="21" xfId="0" applyFont="1" applyBorder="1">
      <alignment vertical="center"/>
    </xf>
    <xf numFmtId="184" fontId="9" fillId="6" borderId="30" xfId="0" applyNumberFormat="1" applyFont="1" applyFill="1" applyBorder="1" applyAlignment="1">
      <alignment horizontal="center" vertical="center" wrapText="1"/>
    </xf>
    <xf numFmtId="0" fontId="12" fillId="11" borderId="0" xfId="0" applyFont="1" applyFill="1" applyAlignment="1">
      <alignment horizontal="center" vertical="center" wrapText="1"/>
    </xf>
    <xf numFmtId="0" fontId="12" fillId="0" borderId="0" xfId="0" applyFont="1" applyAlignment="1">
      <alignment horizontal="center" vertical="center" wrapText="1"/>
    </xf>
    <xf numFmtId="177" fontId="12" fillId="0" borderId="0" xfId="0" applyNumberFormat="1" applyFont="1" applyAlignment="1">
      <alignment horizontal="center" vertical="center" wrapText="1"/>
    </xf>
    <xf numFmtId="178" fontId="12" fillId="0" borderId="0" xfId="0" applyNumberFormat="1" applyFont="1" applyAlignment="1">
      <alignment horizontal="center" vertical="center" wrapText="1"/>
    </xf>
    <xf numFmtId="179" fontId="12" fillId="0" borderId="0" xfId="0" applyNumberFormat="1" applyFont="1" applyAlignment="1">
      <alignment horizontal="center" vertical="center" wrapText="1"/>
    </xf>
    <xf numFmtId="0" fontId="12" fillId="4" borderId="24" xfId="0" applyFont="1" applyFill="1" applyBorder="1" applyAlignment="1">
      <alignment horizontal="center" vertical="center" wrapText="1"/>
    </xf>
    <xf numFmtId="0" fontId="12" fillId="10"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6" xfId="0" applyFont="1" applyFill="1" applyBorder="1" applyAlignment="1">
      <alignment horizontal="center" vertical="center" wrapText="1"/>
    </xf>
    <xf numFmtId="183" fontId="12" fillId="4" borderId="27" xfId="0" applyNumberFormat="1" applyFont="1" applyFill="1" applyBorder="1" applyAlignment="1">
      <alignment horizontal="center" vertical="center" wrapText="1"/>
    </xf>
    <xf numFmtId="9" fontId="13" fillId="4" borderId="25" xfId="0" applyNumberFormat="1" applyFont="1" applyFill="1" applyBorder="1" applyAlignment="1">
      <alignment horizontal="center" vertical="center" wrapText="1"/>
    </xf>
    <xf numFmtId="185" fontId="12" fillId="4" borderId="25" xfId="0" applyNumberFormat="1" applyFont="1" applyFill="1" applyBorder="1" applyAlignment="1">
      <alignment horizontal="center" vertical="center" wrapText="1"/>
    </xf>
    <xf numFmtId="178" fontId="12" fillId="4" borderId="28" xfId="0" applyNumberFormat="1" applyFont="1" applyFill="1" applyBorder="1" applyAlignment="1">
      <alignment horizontal="center" vertical="center" wrapText="1"/>
    </xf>
    <xf numFmtId="179" fontId="12" fillId="4" borderId="22" xfId="0" applyNumberFormat="1" applyFont="1" applyFill="1" applyBorder="1" applyAlignment="1">
      <alignment horizontal="center" vertical="center" wrapText="1"/>
    </xf>
    <xf numFmtId="179" fontId="12" fillId="4" borderId="36" xfId="0" applyNumberFormat="1" applyFont="1" applyFill="1" applyBorder="1" applyAlignment="1">
      <alignment horizontal="center" vertical="center" wrapText="1"/>
    </xf>
    <xf numFmtId="179" fontId="12" fillId="10" borderId="36" xfId="0" applyNumberFormat="1" applyFont="1" applyFill="1" applyBorder="1" applyAlignment="1">
      <alignment horizontal="center" vertical="center" wrapText="1"/>
    </xf>
    <xf numFmtId="181" fontId="12" fillId="4" borderId="36" xfId="0" applyNumberFormat="1" applyFont="1" applyFill="1" applyBorder="1" applyAlignment="1">
      <alignment horizontal="center" vertical="center" wrapText="1"/>
    </xf>
    <xf numFmtId="0" fontId="12" fillId="4" borderId="36" xfId="0" applyFont="1" applyFill="1" applyBorder="1" applyAlignment="1">
      <alignment horizontal="center" vertical="center" wrapText="1"/>
    </xf>
    <xf numFmtId="0" fontId="12" fillId="4" borderId="23" xfId="0" applyFont="1" applyFill="1" applyBorder="1" applyAlignment="1">
      <alignment horizontal="center" vertical="center" wrapText="1"/>
    </xf>
    <xf numFmtId="49" fontId="13" fillId="4" borderId="27" xfId="0" applyNumberFormat="1" applyFont="1" applyFill="1" applyBorder="1" applyAlignment="1">
      <alignment horizontal="center" vertical="center" wrapText="1"/>
    </xf>
    <xf numFmtId="0" fontId="12" fillId="4" borderId="39" xfId="0" applyFont="1" applyFill="1" applyBorder="1" applyAlignment="1">
      <alignment horizontal="center" vertical="center" wrapText="1"/>
    </xf>
    <xf numFmtId="0" fontId="12" fillId="4" borderId="40" xfId="0" applyFont="1" applyFill="1" applyBorder="1" applyAlignment="1">
      <alignment horizontal="center" vertical="center" wrapText="1"/>
    </xf>
    <xf numFmtId="0" fontId="12" fillId="4" borderId="41" xfId="0" applyFont="1" applyFill="1" applyBorder="1" applyAlignment="1">
      <alignment horizontal="center" vertical="center" wrapText="1"/>
    </xf>
    <xf numFmtId="9" fontId="12" fillId="4" borderId="24" xfId="0" applyNumberFormat="1" applyFont="1" applyFill="1" applyBorder="1" applyAlignment="1">
      <alignment horizontal="center" vertical="center" wrapText="1"/>
    </xf>
    <xf numFmtId="9" fontId="12" fillId="4" borderId="25" xfId="0" applyNumberFormat="1" applyFont="1" applyFill="1" applyBorder="1" applyAlignment="1">
      <alignment horizontal="center" vertical="center" wrapText="1"/>
    </xf>
    <xf numFmtId="0" fontId="12" fillId="4" borderId="42" xfId="0" applyFont="1" applyFill="1" applyBorder="1" applyAlignment="1">
      <alignment horizontal="center" vertical="center" wrapText="1"/>
    </xf>
    <xf numFmtId="0" fontId="12" fillId="10" borderId="0" xfId="0" applyFont="1" applyFill="1" applyAlignment="1">
      <alignment horizontal="center" vertical="center" wrapText="1"/>
    </xf>
    <xf numFmtId="2" fontId="12" fillId="4" borderId="26" xfId="0" applyNumberFormat="1" applyFont="1" applyFill="1" applyBorder="1" applyAlignment="1">
      <alignment horizontal="center" vertical="center" wrapText="1"/>
    </xf>
    <xf numFmtId="9" fontId="12" fillId="4" borderId="31" xfId="0" applyNumberFormat="1" applyFont="1" applyFill="1" applyBorder="1" applyAlignment="1">
      <alignment horizontal="center" vertical="center" wrapText="1"/>
    </xf>
    <xf numFmtId="0" fontId="12" fillId="4" borderId="31" xfId="0" applyFont="1" applyFill="1" applyBorder="1" applyAlignment="1">
      <alignment horizontal="center" vertical="center" wrapText="1"/>
    </xf>
    <xf numFmtId="0" fontId="12" fillId="4" borderId="43" xfId="0" applyFont="1" applyFill="1" applyBorder="1" applyAlignment="1">
      <alignment horizontal="center" vertical="center" wrapText="1"/>
    </xf>
    <xf numFmtId="0" fontId="12" fillId="12" borderId="24" xfId="0" applyFont="1" applyFill="1" applyBorder="1" applyAlignment="1">
      <alignment horizontal="center" vertical="center" wrapText="1"/>
    </xf>
    <xf numFmtId="49" fontId="12" fillId="4" borderId="27" xfId="0" applyNumberFormat="1" applyFont="1" applyFill="1" applyBorder="1" applyAlignment="1">
      <alignment horizontal="center" vertical="center" wrapText="1"/>
    </xf>
    <xf numFmtId="49" fontId="12" fillId="4" borderId="25" xfId="0" applyNumberFormat="1" applyFont="1" applyFill="1" applyBorder="1" applyAlignment="1">
      <alignment horizontal="center" vertical="center" wrapText="1"/>
    </xf>
    <xf numFmtId="14" fontId="12" fillId="4" borderId="26" xfId="0" applyNumberFormat="1" applyFont="1" applyFill="1" applyBorder="1" applyAlignment="1">
      <alignment horizontal="center" vertical="center" wrapText="1"/>
    </xf>
    <xf numFmtId="0" fontId="7" fillId="10" borderId="24" xfId="0" applyFont="1" applyFill="1" applyBorder="1" applyAlignment="1">
      <alignment horizontal="center" vertical="center" wrapText="1"/>
    </xf>
    <xf numFmtId="0" fontId="7" fillId="4" borderId="43" xfId="0" applyFont="1" applyFill="1" applyBorder="1" applyAlignment="1">
      <alignment horizontal="center" vertical="center" wrapText="1"/>
    </xf>
    <xf numFmtId="185" fontId="7" fillId="4" borderId="34" xfId="0" applyNumberFormat="1" applyFont="1" applyFill="1" applyBorder="1" applyAlignment="1">
      <alignment horizontal="center" vertical="center" wrapText="1"/>
    </xf>
    <xf numFmtId="0" fontId="12" fillId="4" borderId="0" xfId="0" applyFont="1" applyFill="1" applyAlignment="1">
      <alignment horizontal="center" vertical="center" wrapText="1"/>
    </xf>
    <xf numFmtId="0" fontId="14" fillId="0" borderId="0" xfId="0" applyFont="1">
      <alignment vertical="center"/>
    </xf>
    <xf numFmtId="0" fontId="8" fillId="0" borderId="0" xfId="0" applyFont="1">
      <alignment vertical="center"/>
    </xf>
    <xf numFmtId="0" fontId="15" fillId="13" borderId="17" xfId="0" applyFont="1" applyFill="1" applyBorder="1" applyAlignment="1">
      <alignment horizontal="center" vertical="center" wrapText="1"/>
    </xf>
    <xf numFmtId="0" fontId="15" fillId="13" borderId="44" xfId="0" applyFont="1" applyFill="1" applyBorder="1" applyAlignment="1">
      <alignment horizontal="center" vertical="center" wrapText="1"/>
    </xf>
    <xf numFmtId="0" fontId="15" fillId="13" borderId="45" xfId="0" applyFont="1" applyFill="1" applyBorder="1" applyAlignment="1">
      <alignment horizontal="center" vertical="center" wrapText="1"/>
    </xf>
    <xf numFmtId="0" fontId="15" fillId="13" borderId="46" xfId="0" applyFont="1" applyFill="1" applyBorder="1" applyAlignment="1">
      <alignment horizontal="center" vertical="center" wrapText="1"/>
    </xf>
    <xf numFmtId="0" fontId="15" fillId="13" borderId="47" xfId="0" applyFont="1" applyFill="1" applyBorder="1" applyAlignment="1">
      <alignment horizontal="center" vertical="center" wrapText="1"/>
    </xf>
    <xf numFmtId="0" fontId="15" fillId="13" borderId="48" xfId="0" applyFont="1" applyFill="1" applyBorder="1" applyAlignment="1">
      <alignment horizontal="center" vertical="center" wrapText="1"/>
    </xf>
    <xf numFmtId="0" fontId="15" fillId="13" borderId="49" xfId="0" applyFont="1" applyFill="1" applyBorder="1" applyAlignment="1">
      <alignment horizontal="center" vertical="center" wrapText="1"/>
    </xf>
    <xf numFmtId="0" fontId="15" fillId="13" borderId="50" xfId="0" applyFont="1" applyFill="1" applyBorder="1" applyAlignment="1">
      <alignment horizontal="center" vertical="center" wrapText="1"/>
    </xf>
    <xf numFmtId="0" fontId="15" fillId="13" borderId="51" xfId="0" applyFont="1" applyFill="1" applyBorder="1" applyAlignment="1">
      <alignment horizontal="center" vertical="center" wrapText="1"/>
    </xf>
    <xf numFmtId="0" fontId="15" fillId="13" borderId="52" xfId="0" applyFont="1" applyFill="1" applyBorder="1" applyAlignment="1">
      <alignment horizontal="center" vertical="center" wrapText="1"/>
    </xf>
    <xf numFmtId="0" fontId="15" fillId="13" borderId="53" xfId="0" applyFont="1" applyFill="1" applyBorder="1" applyAlignment="1">
      <alignment horizontal="center" vertical="center" wrapText="1"/>
    </xf>
    <xf numFmtId="0" fontId="15" fillId="13" borderId="54" xfId="0" applyFont="1" applyFill="1" applyBorder="1" applyAlignment="1">
      <alignment horizontal="center" vertical="center" wrapText="1"/>
    </xf>
    <xf numFmtId="0" fontId="2" fillId="0" borderId="55" xfId="0" applyFont="1" applyBorder="1" applyAlignment="1">
      <alignment horizontal="center" vertical="center" wrapText="1"/>
    </xf>
    <xf numFmtId="0" fontId="2" fillId="0" borderId="56" xfId="0" applyFont="1" applyBorder="1" applyAlignment="1">
      <alignment horizontal="center" vertical="center" wrapText="1"/>
    </xf>
    <xf numFmtId="178" fontId="2" fillId="0" borderId="56" xfId="0" applyNumberFormat="1" applyFont="1" applyBorder="1" applyAlignment="1">
      <alignment horizontal="center" vertical="center" wrapText="1"/>
    </xf>
    <xf numFmtId="178" fontId="2" fillId="0" borderId="57" xfId="0" applyNumberFormat="1" applyFont="1" applyBorder="1" applyAlignment="1">
      <alignment horizontal="center" vertical="center" wrapText="1"/>
    </xf>
    <xf numFmtId="0" fontId="2" fillId="0" borderId="58" xfId="0" applyFont="1" applyBorder="1" applyAlignment="1">
      <alignment horizontal="center" vertical="center" wrapText="1"/>
    </xf>
    <xf numFmtId="0" fontId="2" fillId="0" borderId="59" xfId="0" applyFont="1" applyBorder="1" applyAlignment="1">
      <alignment horizontal="center" vertical="center" wrapText="1"/>
    </xf>
    <xf numFmtId="178" fontId="2" fillId="0" borderId="59" xfId="0" applyNumberFormat="1" applyFont="1" applyBorder="1" applyAlignment="1">
      <alignment horizontal="center" vertical="center" wrapText="1"/>
    </xf>
    <xf numFmtId="178" fontId="2" fillId="0" borderId="60" xfId="0" applyNumberFormat="1" applyFont="1" applyBorder="1" applyAlignment="1">
      <alignment horizontal="center" vertical="center" wrapText="1"/>
    </xf>
    <xf numFmtId="0" fontId="2" fillId="0" borderId="61" xfId="0" applyFont="1" applyBorder="1" applyAlignment="1">
      <alignment horizontal="center" vertical="center" wrapText="1"/>
    </xf>
    <xf numFmtId="0" fontId="2" fillId="0" borderId="50" xfId="0" applyFont="1" applyBorder="1" applyAlignment="1">
      <alignment horizontal="center" vertical="center" wrapText="1"/>
    </xf>
    <xf numFmtId="178" fontId="2" fillId="0" borderId="50" xfId="0" applyNumberFormat="1" applyFont="1" applyBorder="1" applyAlignment="1">
      <alignment horizontal="center" vertical="center" wrapText="1"/>
    </xf>
    <xf numFmtId="178" fontId="2" fillId="0" borderId="45" xfId="0" applyNumberFormat="1" applyFont="1" applyBorder="1" applyAlignment="1">
      <alignment horizontal="center" vertical="center" wrapText="1"/>
    </xf>
    <xf numFmtId="0" fontId="2" fillId="0" borderId="62" xfId="0" applyFont="1" applyBorder="1" applyAlignment="1">
      <alignment horizontal="center" vertical="center" wrapText="1"/>
    </xf>
    <xf numFmtId="0" fontId="2" fillId="0" borderId="63" xfId="0" applyFont="1" applyBorder="1" applyAlignment="1">
      <alignment horizontal="center" vertical="center" wrapText="1"/>
    </xf>
    <xf numFmtId="178" fontId="2" fillId="0" borderId="63" xfId="0" applyNumberFormat="1" applyFont="1" applyBorder="1" applyAlignment="1">
      <alignment horizontal="center" vertical="center" wrapText="1"/>
    </xf>
    <xf numFmtId="178" fontId="2" fillId="0" borderId="64" xfId="0" applyNumberFormat="1" applyFont="1" applyBorder="1" applyAlignment="1">
      <alignment horizontal="center" vertical="center" wrapText="1"/>
    </xf>
    <xf numFmtId="178" fontId="2" fillId="0" borderId="65" xfId="0" applyNumberFormat="1" applyFont="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outlinePr summaryBelow="0" summaryRight="0"/>
  </sheetPr>
  <dimension ref="A1:H11"/>
  <sheetViews>
    <sheetView showGridLines="0" workbookViewId="0">
      <pane ySplit="3" topLeftCell="A4" activePane="bottomLeft" state="frozen"/>
      <selection/>
      <selection pane="bottomLeft" activeCell="I10" sqref="I10"/>
    </sheetView>
  </sheetViews>
  <sheetFormatPr defaultColWidth="8.83333333333333" defaultRowHeight="15.75" customHeight="1" outlineLevelCol="7"/>
  <cols>
    <col min="1" max="1" width="11.8333333333333" style="156" customWidth="1"/>
    <col min="2" max="2" width="17.5" style="156" customWidth="1"/>
    <col min="3" max="3" width="14.6666666666667" style="156" customWidth="1" outlineLevel="1"/>
    <col min="4" max="4" width="15.1666666666667" style="156" hidden="1" customWidth="1" outlineLevel="1"/>
    <col min="5" max="5" width="14.6666666666667" style="156" customWidth="1" outlineLevel="1"/>
    <col min="6" max="6" width="12.6666666666667" style="156" customWidth="1" outlineLevel="1"/>
    <col min="7" max="8" width="14.6666666666667" style="156" customWidth="1"/>
  </cols>
  <sheetData>
    <row r="1" customHeight="1" spans="1:8">
      <c r="A1" s="157" t="s">
        <v>0</v>
      </c>
      <c r="B1" s="158"/>
      <c r="C1" s="159" t="s">
        <v>1</v>
      </c>
      <c r="D1" s="160"/>
      <c r="E1" s="160"/>
      <c r="F1" s="160"/>
      <c r="G1" s="160"/>
      <c r="H1" s="161"/>
    </row>
    <row r="2" ht="25.5" customHeight="1" spans="1:8">
      <c r="A2" s="162"/>
      <c r="B2" s="163"/>
      <c r="C2" s="164" t="s">
        <v>2</v>
      </c>
      <c r="D2" s="159"/>
      <c r="E2" s="164" t="s">
        <v>3</v>
      </c>
      <c r="F2" s="159"/>
      <c r="G2" s="165" t="s">
        <v>4</v>
      </c>
      <c r="H2" s="166"/>
    </row>
    <row r="3" s="155" customFormat="1" ht="25.5" customHeight="1" spans="1:8">
      <c r="A3" s="167" t="s">
        <v>5</v>
      </c>
      <c r="B3" s="165" t="s">
        <v>6</v>
      </c>
      <c r="C3" s="165" t="s">
        <v>7</v>
      </c>
      <c r="D3" s="168" t="s">
        <v>8</v>
      </c>
      <c r="E3" s="165" t="s">
        <v>7</v>
      </c>
      <c r="F3" s="168" t="s">
        <v>8</v>
      </c>
      <c r="G3" s="165" t="s">
        <v>2</v>
      </c>
      <c r="H3" s="166" t="s">
        <v>3</v>
      </c>
    </row>
    <row r="4" customHeight="1" spans="1:8">
      <c r="A4" s="169" t="s">
        <v>9</v>
      </c>
      <c r="B4" s="170" t="s">
        <v>10</v>
      </c>
      <c r="C4" s="171">
        <f>SUMIFS('Capex-A(Asset)'!$Q:$Q,'Capex-A(Asset)'!$D:$D,Summary!$B4,'Capex-A(Asset)'!$Z:$Z,C$3)</f>
        <v>0</v>
      </c>
      <c r="D4" s="171">
        <f>SUMIFS('Capex-A(Asset)'!$Q:$Q,'Capex-A(Asset)'!$D:$D,Summary!$B4,'Capex-A(Asset)'!$Z:$Z,D$3)</f>
        <v>0</v>
      </c>
      <c r="E4" s="171">
        <f>SUMIFS('K(Cost center)-Opex (Service)'!$O:$O,'K(Cost center)-Opex (Service)'!$D:$D,$B4,'K(Cost center)-Opex (Service)'!$X:$X,E$3)</f>
        <v>7500</v>
      </c>
      <c r="F4" s="171">
        <f>SUMIFS('K(Cost center)-Opex (Service)'!$S:$S,'K(Cost center)-Opex (Service)'!$D:$D,$B4,'K(Cost center)-Opex (Service)'!$X:$X,F$3)</f>
        <v>16413</v>
      </c>
      <c r="G4" s="171">
        <f t="shared" ref="G4:G10" si="0">SUM(C4:D4)</f>
        <v>0</v>
      </c>
      <c r="H4" s="172">
        <f t="shared" ref="H4:H10" si="1">SUM(E4:F4)</f>
        <v>23913</v>
      </c>
    </row>
    <row r="5" customHeight="1" spans="1:8">
      <c r="A5" s="173"/>
      <c r="B5" s="174" t="s">
        <v>11</v>
      </c>
      <c r="C5" s="175">
        <f>SUMIFS('Capex-A(Asset)'!$Q:$Q,'Capex-A(Asset)'!$D:$D,Summary!$B5,'Capex-A(Asset)'!$Z:$Z,C$3)</f>
        <v>0</v>
      </c>
      <c r="D5" s="176">
        <f>SUMIFS('Capex-A(Asset)'!$Q:$Q,'Capex-A(Asset)'!$D:$D,Summary!$B5,'Capex-A(Asset)'!$Z:$Z,D$3)</f>
        <v>0</v>
      </c>
      <c r="E5" s="171">
        <f>SUMIFS('K(Cost center)-Opex (Service)'!$S:$S,'K(Cost center)-Opex (Service)'!$D:$D,$B5,'K(Cost center)-Opex (Service)'!$X:$X,E$3)</f>
        <v>0</v>
      </c>
      <c r="F5" s="171">
        <f>SUMIFS('K(Cost center)-Opex (Service)'!$S:$S,'K(Cost center)-Opex (Service)'!$D:$D,$B5,'K(Cost center)-Opex (Service)'!$X:$X,F$3)</f>
        <v>1000</v>
      </c>
      <c r="G5" s="171">
        <f t="shared" si="0"/>
        <v>0</v>
      </c>
      <c r="H5" s="172">
        <f t="shared" si="1"/>
        <v>1000</v>
      </c>
    </row>
    <row r="6" customHeight="1" spans="1:8">
      <c r="A6" s="173"/>
      <c r="B6" s="174" t="s">
        <v>12</v>
      </c>
      <c r="C6" s="175">
        <f>SUMIFS('Capex-A(Asset)'!$Q:$Q,'Capex-A(Asset)'!$D:$D,Summary!$B6,'Capex-A(Asset)'!$Z:$Z,C$3)</f>
        <v>0</v>
      </c>
      <c r="D6" s="176">
        <f>SUMIFS('Capex-A(Asset)'!$Q:$Q,'Capex-A(Asset)'!$D:$D,Summary!$B6,'Capex-A(Asset)'!$Z:$Z,D$3)</f>
        <v>0</v>
      </c>
      <c r="E6" s="171">
        <f>SUMIFS('K(Cost center)-Opex (Service)'!$S:$S,'K(Cost center)-Opex (Service)'!$D:$D,$B6,'K(Cost center)-Opex (Service)'!$X:$X,E$3)</f>
        <v>0</v>
      </c>
      <c r="F6" s="171">
        <f>SUMIFS('K(Cost center)-Opex (Service)'!$S:$S,'K(Cost center)-Opex (Service)'!$D:$D,$B6,'K(Cost center)-Opex (Service)'!$X:$X,F$3)</f>
        <v>0</v>
      </c>
      <c r="G6" s="171">
        <f t="shared" si="0"/>
        <v>0</v>
      </c>
      <c r="H6" s="172">
        <f t="shared" si="1"/>
        <v>0</v>
      </c>
    </row>
    <row r="7" customHeight="1" spans="1:8">
      <c r="A7" s="173"/>
      <c r="B7" s="174" t="s">
        <v>13</v>
      </c>
      <c r="C7" s="175">
        <f>SUMIFS('Capex-A(Asset)'!$Q:$Q,'Capex-A(Asset)'!$D:$D,Summary!$B7,'Capex-A(Asset)'!$Z:$Z,C$3)</f>
        <v>0</v>
      </c>
      <c r="D7" s="176">
        <f>SUMIFS('Capex-A(Asset)'!$Q:$Q,'Capex-A(Asset)'!$D:$D,Summary!$B7,'Capex-A(Asset)'!$Z:$Z,D$3)</f>
        <v>0</v>
      </c>
      <c r="E7" s="171">
        <f>SUMIFS('K(Cost center)-Opex (Service)'!$S:$S,'K(Cost center)-Opex (Service)'!$D:$D,$B7,'K(Cost center)-Opex (Service)'!$X:$X,E$3)</f>
        <v>0</v>
      </c>
      <c r="F7" s="171">
        <f>SUMIFS('K(Cost center)-Opex (Service)'!$S:$S,'K(Cost center)-Opex (Service)'!$D:$D,$B7,'K(Cost center)-Opex (Service)'!$X:$X,F$3)</f>
        <v>1300</v>
      </c>
      <c r="G7" s="171">
        <f t="shared" si="0"/>
        <v>0</v>
      </c>
      <c r="H7" s="172">
        <f t="shared" si="1"/>
        <v>1300</v>
      </c>
    </row>
    <row r="8" customHeight="1" spans="1:8">
      <c r="A8" s="173"/>
      <c r="B8" s="174" t="s">
        <v>14</v>
      </c>
      <c r="C8" s="175">
        <f>SUMIFS('Capex-A(Asset)'!$Q:$Q,'Capex-A(Asset)'!$D:$D,Summary!$B8,'Capex-A(Asset)'!$Z:$Z,C$3)</f>
        <v>0</v>
      </c>
      <c r="D8" s="176">
        <f>SUMIFS('Capex-A(Asset)'!$Q:$Q,'Capex-A(Asset)'!$D:$D,Summary!$B8,'Capex-A(Asset)'!$Z:$Z,D$3)</f>
        <v>0</v>
      </c>
      <c r="E8" s="171">
        <f>SUMIFS('K(Cost center)-Opex (Service)'!$S:$S,'K(Cost center)-Opex (Service)'!$D:$D,$B8,'K(Cost center)-Opex (Service)'!$X:$X,E$3)</f>
        <v>0</v>
      </c>
      <c r="F8" s="171">
        <f>SUMIFS('K(Cost center)-Opex (Service)'!$S:$S,'K(Cost center)-Opex (Service)'!$D:$D,$B8,'K(Cost center)-Opex (Service)'!$X:$X,F$3)</f>
        <v>0</v>
      </c>
      <c r="G8" s="171">
        <f t="shared" si="0"/>
        <v>0</v>
      </c>
      <c r="H8" s="172">
        <f t="shared" si="1"/>
        <v>0</v>
      </c>
    </row>
    <row r="9" customHeight="1" spans="1:8">
      <c r="A9" s="173"/>
      <c r="B9" s="174" t="s">
        <v>15</v>
      </c>
      <c r="C9" s="175">
        <f>SUMIFS('Capex-A(Asset)'!$Q:$Q,'Capex-A(Asset)'!$D:$D,Summary!$B9,'Capex-A(Asset)'!$Z:$Z,C$3)</f>
        <v>0</v>
      </c>
      <c r="D9" s="176">
        <f>SUMIFS('Capex-A(Asset)'!$Q:$Q,'Capex-A(Asset)'!$D:$D,Summary!$B9,'Capex-A(Asset)'!$Z:$Z,D$3)</f>
        <v>0</v>
      </c>
      <c r="E9" s="171">
        <f>SUMIFS('K(Cost center)-Opex (Service)'!$O:$O,'K(Cost center)-Opex (Service)'!$D:$D,$B9,'K(Cost center)-Opex (Service)'!$X:$X,E$3)</f>
        <v>32365.72</v>
      </c>
      <c r="F9" s="171">
        <f>SUMIFS('K(Cost center)-Opex (Service)'!$S:$S,'K(Cost center)-Opex (Service)'!$D:$D,$B9,'K(Cost center)-Opex (Service)'!$X:$X,F$3)</f>
        <v>0</v>
      </c>
      <c r="G9" s="171">
        <f t="shared" si="0"/>
        <v>0</v>
      </c>
      <c r="H9" s="172">
        <f t="shared" si="1"/>
        <v>32365.72</v>
      </c>
    </row>
    <row r="10" customHeight="1" spans="1:8">
      <c r="A10" s="177"/>
      <c r="B10" s="178" t="s">
        <v>16</v>
      </c>
      <c r="C10" s="179">
        <f>SUMIFS('Capex-A(Asset)'!$Q:$Q,'Capex-A(Asset)'!$D:$D,Summary!$B10,'Capex-A(Asset)'!$Z:$Z,C$3)</f>
        <v>0</v>
      </c>
      <c r="D10" s="180">
        <f>SUMIFS('Capex-A(Asset)'!$Q:$Q,'Capex-A(Asset)'!$D:$D,Summary!$B10,'Capex-A(Asset)'!$Z:$Z,D$3)</f>
        <v>0</v>
      </c>
      <c r="E10" s="171">
        <f>SUMIFS('K(Cost center)-Opex (Service)'!$S:$S,'K(Cost center)-Opex (Service)'!$D:$D,$B10,'K(Cost center)-Opex (Service)'!$X:$X,E$3)</f>
        <v>0</v>
      </c>
      <c r="F10" s="171">
        <f>SUMIFS('K(Cost center)-Opex (Service)'!$S:$S,'K(Cost center)-Opex (Service)'!$D:$D,$B10,'K(Cost center)-Opex (Service)'!$X:$X,F$3)</f>
        <v>0</v>
      </c>
      <c r="G10" s="171">
        <f t="shared" si="0"/>
        <v>0</v>
      </c>
      <c r="H10" s="172">
        <f t="shared" si="1"/>
        <v>0</v>
      </c>
    </row>
    <row r="11" customHeight="1" spans="1:8">
      <c r="A11" s="181" t="s">
        <v>17</v>
      </c>
      <c r="B11" s="182"/>
      <c r="C11" s="183">
        <f t="shared" ref="C11:H11" si="2">SUM(C4:C10)</f>
        <v>0</v>
      </c>
      <c r="D11" s="184">
        <f t="shared" si="2"/>
        <v>0</v>
      </c>
      <c r="E11" s="184">
        <f t="shared" si="2"/>
        <v>39865.72</v>
      </c>
      <c r="F11" s="184">
        <f t="shared" si="2"/>
        <v>18713</v>
      </c>
      <c r="G11" s="183">
        <f t="shared" si="2"/>
        <v>0</v>
      </c>
      <c r="H11" s="185">
        <f t="shared" si="2"/>
        <v>58578.72</v>
      </c>
    </row>
  </sheetData>
  <sheetProtection formatCells="0" insertHyperlinks="0" autoFilter="0"/>
  <mergeCells count="7">
    <mergeCell ref="C1:H1"/>
    <mergeCell ref="C2:D2"/>
    <mergeCell ref="E2:F2"/>
    <mergeCell ref="G2:H2"/>
    <mergeCell ref="A11:B11"/>
    <mergeCell ref="A4:A10"/>
    <mergeCell ref="A1:B2"/>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E4E79"/>
    <outlinePr summaryBelow="0" summaryRight="0"/>
  </sheetPr>
  <dimension ref="A1:AG22"/>
  <sheetViews>
    <sheetView showGridLines="0" tabSelected="1" zoomScale="80" zoomScaleNormal="80" topLeftCell="D10" workbookViewId="0">
      <selection activeCell="I7" sqref="I7"/>
    </sheetView>
  </sheetViews>
  <sheetFormatPr defaultColWidth="8.83333333333333" defaultRowHeight="26.25" customHeight="1"/>
  <cols>
    <col min="1" max="1" width="8.16666666666667" style="42" customWidth="1"/>
    <col min="2" max="2" width="14" style="42" customWidth="1" outlineLevel="1"/>
    <col min="3" max="3" width="24.6666666666667" style="42" customWidth="1" outlineLevel="1"/>
    <col min="4" max="5" width="14.3333333333333" style="42" customWidth="1" outlineLevel="1"/>
    <col min="6" max="6" width="10.8333333333333" style="42" customWidth="1" outlineLevel="1"/>
    <col min="7" max="7" width="13.1666666666667" style="42" customWidth="1" outlineLevel="1"/>
    <col min="8" max="8" width="16.3333333333333" style="42" customWidth="1"/>
    <col min="9" max="9" width="21.6666666666667" style="42" customWidth="1"/>
    <col min="10" max="10" width="10.1666666666667" style="42" customWidth="1"/>
    <col min="11" max="11" width="14.1666666666667" style="42" customWidth="1"/>
    <col min="12" max="12" width="14.1666666666667" style="43" customWidth="1"/>
    <col min="13" max="13" width="28" style="42" customWidth="1"/>
    <col min="14" max="14" width="9.5" style="44" customWidth="1"/>
    <col min="15" max="15" width="13" style="45" customWidth="1"/>
    <col min="16" max="16" width="11" style="45" customWidth="1"/>
    <col min="17" max="17" width="14.8333333333333" style="45" customWidth="1"/>
    <col min="18" max="18" width="9.83333333333333" style="45" customWidth="1" outlineLevel="1"/>
    <col min="19" max="19" width="13.1666666666667" style="45" customWidth="1" outlineLevel="1"/>
    <col min="20" max="20" width="12.1666666666667" style="42" customWidth="1" outlineLevel="1"/>
    <col min="21" max="21" width="11.8333333333333" style="42" customWidth="1" outlineLevel="1"/>
    <col min="22" max="22" width="20.6666666666667" style="42" customWidth="1" outlineLevel="1"/>
    <col min="23" max="23" width="24.6666666666667" style="42" customWidth="1"/>
    <col min="24" max="24" width="19.9166666666667" style="42" customWidth="1"/>
    <col min="25" max="27" width="8.83333333333333" style="46"/>
    <col min="28" max="28" width="26.3333333333333" style="46" customWidth="1"/>
    <col min="29" max="31" width="8.83333333333333" style="46"/>
  </cols>
  <sheetData>
    <row r="1" customHeight="1" spans="1:28">
      <c r="A1" s="47" t="s">
        <v>18</v>
      </c>
      <c r="B1" s="111"/>
      <c r="C1" s="111"/>
      <c r="D1" s="111"/>
      <c r="E1" s="111"/>
      <c r="F1" s="111"/>
      <c r="G1" s="111"/>
      <c r="H1" s="112" t="s">
        <v>19</v>
      </c>
      <c r="I1" s="111"/>
      <c r="J1" s="111"/>
      <c r="K1" s="111"/>
      <c r="L1" s="111"/>
      <c r="M1" s="111"/>
      <c r="N1" s="111"/>
      <c r="O1" s="50" t="s">
        <v>20</v>
      </c>
      <c r="P1" s="113"/>
      <c r="Q1" s="113"/>
      <c r="R1" s="113"/>
      <c r="S1" s="113"/>
      <c r="T1" s="113"/>
      <c r="U1" s="113"/>
      <c r="V1" s="113"/>
      <c r="W1" s="113"/>
      <c r="X1" s="114"/>
      <c r="Y1" s="53" t="s">
        <v>21</v>
      </c>
      <c r="Z1" s="54"/>
      <c r="AA1" s="54"/>
      <c r="AB1" s="55"/>
    </row>
    <row r="2" customHeight="1" spans="1:28">
      <c r="A2" s="60" t="s">
        <v>22</v>
      </c>
      <c r="B2" s="60" t="s">
        <v>23</v>
      </c>
      <c r="C2" s="61" t="s">
        <v>24</v>
      </c>
      <c r="D2" s="61" t="s">
        <v>25</v>
      </c>
      <c r="E2" s="61" t="s">
        <v>26</v>
      </c>
      <c r="F2" s="61" t="s">
        <v>27</v>
      </c>
      <c r="G2" s="62" t="s">
        <v>28</v>
      </c>
      <c r="H2" s="63" t="s">
        <v>29</v>
      </c>
      <c r="I2" s="61" t="s">
        <v>30</v>
      </c>
      <c r="J2" s="61" t="s">
        <v>31</v>
      </c>
      <c r="K2" s="62" t="s">
        <v>32</v>
      </c>
      <c r="L2" s="64" t="s">
        <v>33</v>
      </c>
      <c r="M2" s="62" t="s">
        <v>34</v>
      </c>
      <c r="N2" s="65" t="s">
        <v>35</v>
      </c>
      <c r="O2" s="66" t="s">
        <v>36</v>
      </c>
      <c r="P2" s="67" t="s">
        <v>37</v>
      </c>
      <c r="Q2" s="67" t="s">
        <v>38</v>
      </c>
      <c r="R2" s="67" t="s">
        <v>39</v>
      </c>
      <c r="S2" s="67" t="s">
        <v>40</v>
      </c>
      <c r="T2" s="115" t="s">
        <v>41</v>
      </c>
      <c r="U2" s="69" t="s">
        <v>42</v>
      </c>
      <c r="V2" s="70" t="s">
        <v>43</v>
      </c>
      <c r="W2" s="71" t="s">
        <v>44</v>
      </c>
      <c r="X2" s="71" t="s">
        <v>45</v>
      </c>
      <c r="Y2" s="72" t="s">
        <v>46</v>
      </c>
      <c r="Z2" s="73" t="s">
        <v>47</v>
      </c>
      <c r="AA2" s="74" t="s">
        <v>48</v>
      </c>
      <c r="AB2" s="74" t="s">
        <v>49</v>
      </c>
    </row>
    <row r="3" customHeight="1" spans="1:28">
      <c r="A3" s="116" t="s">
        <v>50</v>
      </c>
      <c r="B3" s="111"/>
      <c r="C3" s="111"/>
      <c r="D3" s="117"/>
      <c r="E3" s="117"/>
      <c r="F3" s="117"/>
      <c r="G3" s="117"/>
      <c r="H3" s="117"/>
      <c r="I3" s="117"/>
      <c r="J3" s="117"/>
      <c r="K3" s="117"/>
      <c r="L3" s="118"/>
      <c r="M3" s="117"/>
      <c r="N3" s="119"/>
      <c r="O3" s="120"/>
      <c r="P3" s="120"/>
      <c r="Q3" s="120"/>
      <c r="R3" s="120"/>
      <c r="S3" s="120"/>
      <c r="T3" s="117"/>
      <c r="U3" s="117"/>
      <c r="V3" s="117"/>
      <c r="W3" s="117"/>
      <c r="X3" s="117"/>
      <c r="Y3" s="93"/>
      <c r="Z3" s="94"/>
      <c r="AA3" s="81"/>
      <c r="AB3" s="95"/>
    </row>
    <row r="4" ht="39" spans="1:28">
      <c r="A4" s="121">
        <v>1</v>
      </c>
      <c r="B4" s="122"/>
      <c r="C4" s="123" t="s">
        <v>51</v>
      </c>
      <c r="D4" s="123" t="s">
        <v>15</v>
      </c>
      <c r="E4" s="123" t="s">
        <v>52</v>
      </c>
      <c r="F4" s="123"/>
      <c r="G4" s="124"/>
      <c r="H4" s="125" t="s">
        <v>53</v>
      </c>
      <c r="I4" s="126" t="s">
        <v>54</v>
      </c>
      <c r="J4" s="123" t="s">
        <v>55</v>
      </c>
      <c r="K4" s="124"/>
      <c r="L4" s="127">
        <v>46142</v>
      </c>
      <c r="M4" s="126" t="s">
        <v>54</v>
      </c>
      <c r="N4" s="128">
        <v>1</v>
      </c>
      <c r="O4" s="129">
        <v>20000</v>
      </c>
      <c r="P4" s="130"/>
      <c r="Q4" s="131"/>
      <c r="R4" s="131"/>
      <c r="S4" s="129">
        <v>24000</v>
      </c>
      <c r="T4" s="132" t="s">
        <v>56</v>
      </c>
      <c r="U4" s="133" t="s">
        <v>57</v>
      </c>
      <c r="V4" s="133" t="s">
        <v>58</v>
      </c>
      <c r="W4" s="134"/>
      <c r="X4" s="134" t="s">
        <v>7</v>
      </c>
      <c r="Y4" s="93"/>
      <c r="Z4" s="94"/>
      <c r="AA4" s="81" t="s">
        <v>7</v>
      </c>
      <c r="AB4" s="95" t="s">
        <v>59</v>
      </c>
    </row>
    <row r="5" ht="64.5" customHeight="1" spans="1:28">
      <c r="A5" s="121">
        <v>2</v>
      </c>
      <c r="B5" s="122"/>
      <c r="C5" s="123" t="s">
        <v>51</v>
      </c>
      <c r="D5" s="123" t="s">
        <v>10</v>
      </c>
      <c r="E5" s="123" t="s">
        <v>60</v>
      </c>
      <c r="F5" s="123"/>
      <c r="G5" s="124"/>
      <c r="H5" s="135" t="s">
        <v>60</v>
      </c>
      <c r="I5" s="126" t="s">
        <v>61</v>
      </c>
      <c r="J5" s="123" t="s">
        <v>55</v>
      </c>
      <c r="K5" s="124"/>
      <c r="L5" s="127">
        <v>46142</v>
      </c>
      <c r="M5" s="126" t="s">
        <v>61</v>
      </c>
      <c r="N5" s="128">
        <v>1</v>
      </c>
      <c r="O5" s="129">
        <v>7500</v>
      </c>
      <c r="P5" s="130"/>
      <c r="Q5" s="131"/>
      <c r="R5" s="131"/>
      <c r="S5" s="129">
        <v>9000</v>
      </c>
      <c r="T5" s="132" t="s">
        <v>56</v>
      </c>
      <c r="U5" s="133" t="s">
        <v>62</v>
      </c>
      <c r="V5" s="133" t="s">
        <v>58</v>
      </c>
      <c r="W5" s="134"/>
      <c r="X5" s="134" t="s">
        <v>7</v>
      </c>
      <c r="Y5" s="93"/>
      <c r="Z5" s="94"/>
      <c r="AA5" s="81" t="s">
        <v>7</v>
      </c>
      <c r="AB5" s="95" t="s">
        <v>63</v>
      </c>
    </row>
    <row r="6" ht="173" customHeight="1" spans="1:28">
      <c r="A6" s="121">
        <v>3</v>
      </c>
      <c r="B6" s="122"/>
      <c r="C6" s="123" t="s">
        <v>51</v>
      </c>
      <c r="D6" s="124" t="s">
        <v>15</v>
      </c>
      <c r="E6" s="123" t="s">
        <v>64</v>
      </c>
      <c r="F6" s="121"/>
      <c r="G6" s="136"/>
      <c r="H6" s="137" t="s">
        <v>65</v>
      </c>
      <c r="I6" s="121" t="s">
        <v>66</v>
      </c>
      <c r="J6" s="123" t="s">
        <v>55</v>
      </c>
      <c r="K6" s="124"/>
      <c r="L6" s="127">
        <v>46142</v>
      </c>
      <c r="M6" s="121" t="s">
        <v>67</v>
      </c>
      <c r="N6" s="128">
        <v>1</v>
      </c>
      <c r="O6" s="129">
        <v>5000</v>
      </c>
      <c r="P6" s="130"/>
      <c r="Q6" s="131"/>
      <c r="R6" s="131"/>
      <c r="S6" s="129">
        <v>6000</v>
      </c>
      <c r="T6" s="132" t="s">
        <v>56</v>
      </c>
      <c r="U6" s="133" t="s">
        <v>68</v>
      </c>
      <c r="V6" s="133" t="s">
        <v>69</v>
      </c>
      <c r="W6" s="134"/>
      <c r="X6" s="134" t="s">
        <v>7</v>
      </c>
      <c r="Y6" s="93"/>
      <c r="Z6" s="94"/>
      <c r="AA6" s="81" t="s">
        <v>7</v>
      </c>
      <c r="AB6" s="95" t="s">
        <v>59</v>
      </c>
    </row>
    <row r="7" ht="334" customHeight="1" spans="1:28">
      <c r="A7" s="121">
        <v>4</v>
      </c>
      <c r="B7" s="122"/>
      <c r="C7" s="123" t="s">
        <v>51</v>
      </c>
      <c r="D7" s="124" t="s">
        <v>15</v>
      </c>
      <c r="E7" s="123" t="s">
        <v>70</v>
      </c>
      <c r="F7" s="121"/>
      <c r="G7" s="138"/>
      <c r="H7" s="139" t="s">
        <v>71</v>
      </c>
      <c r="I7" s="139" t="s">
        <v>72</v>
      </c>
      <c r="J7" s="123" t="s">
        <v>55</v>
      </c>
      <c r="K7" s="124"/>
      <c r="L7" s="127">
        <v>46142</v>
      </c>
      <c r="M7" s="140" t="s">
        <v>73</v>
      </c>
      <c r="N7" s="128"/>
      <c r="O7" s="129">
        <v>7365.72</v>
      </c>
      <c r="P7" s="130"/>
      <c r="Q7" s="131"/>
      <c r="R7" s="131"/>
      <c r="S7" s="129">
        <v>8838.86</v>
      </c>
      <c r="T7" s="132" t="s">
        <v>56</v>
      </c>
      <c r="U7" s="133"/>
      <c r="V7" s="133" t="s">
        <v>74</v>
      </c>
      <c r="W7" s="134"/>
      <c r="X7" s="134" t="s">
        <v>7</v>
      </c>
      <c r="Y7" s="93"/>
      <c r="Z7" s="94"/>
      <c r="AA7" s="81" t="s">
        <v>7</v>
      </c>
      <c r="AB7" s="95" t="s">
        <v>59</v>
      </c>
    </row>
    <row r="8" ht="172.5" customHeight="1" spans="1:28">
      <c r="A8" s="121">
        <v>5</v>
      </c>
      <c r="B8" s="122"/>
      <c r="C8" s="123"/>
      <c r="D8" s="124"/>
      <c r="E8" s="123"/>
      <c r="F8" s="121"/>
      <c r="G8" s="141"/>
      <c r="H8" s="121"/>
      <c r="I8" s="121"/>
      <c r="J8" s="123"/>
      <c r="K8" s="124"/>
      <c r="L8" s="127"/>
      <c r="M8" s="140"/>
      <c r="N8" s="128"/>
      <c r="O8" s="129"/>
      <c r="P8" s="130"/>
      <c r="Q8" s="131"/>
      <c r="R8" s="131"/>
      <c r="S8" s="129"/>
      <c r="T8" s="132"/>
      <c r="U8" s="133"/>
      <c r="V8" s="133"/>
      <c r="W8" s="134"/>
      <c r="X8" s="134"/>
      <c r="Y8" s="93"/>
      <c r="Z8" s="94"/>
      <c r="AA8" s="81" t="s">
        <v>7</v>
      </c>
      <c r="AB8" s="95"/>
    </row>
    <row r="9" ht="254.5" customHeight="1" spans="1:28">
      <c r="A9" s="121">
        <v>6</v>
      </c>
      <c r="B9" s="142"/>
      <c r="C9" s="123"/>
      <c r="D9" s="124"/>
      <c r="E9" s="123"/>
      <c r="F9" s="121"/>
      <c r="G9" s="141"/>
      <c r="H9" s="121"/>
      <c r="I9" s="121"/>
      <c r="J9" s="123"/>
      <c r="K9" s="124"/>
      <c r="L9" s="127"/>
      <c r="M9" s="143"/>
      <c r="N9" s="128"/>
      <c r="O9" s="129"/>
      <c r="P9" s="130"/>
      <c r="Q9" s="131"/>
      <c r="R9" s="131"/>
      <c r="S9" s="129"/>
      <c r="T9" s="132"/>
      <c r="U9" s="133"/>
      <c r="V9" s="133"/>
      <c r="W9" s="134"/>
      <c r="X9" s="134"/>
      <c r="Y9" s="93"/>
      <c r="Z9" s="94"/>
      <c r="AA9" s="81" t="s">
        <v>7</v>
      </c>
      <c r="AB9" s="95"/>
    </row>
    <row r="10" ht="254.5" customHeight="1" spans="1:28">
      <c r="A10" s="121">
        <v>7</v>
      </c>
      <c r="B10" s="142"/>
      <c r="C10" s="123"/>
      <c r="D10" s="124"/>
      <c r="E10" s="123"/>
      <c r="F10" s="121"/>
      <c r="G10" s="141"/>
      <c r="H10" s="121"/>
      <c r="I10" s="121"/>
      <c r="J10" s="123"/>
      <c r="K10" s="124"/>
      <c r="L10" s="127"/>
      <c r="M10" s="144"/>
      <c r="N10" s="128"/>
      <c r="O10" s="129"/>
      <c r="P10" s="130"/>
      <c r="Q10" s="131"/>
      <c r="R10" s="131"/>
      <c r="S10" s="129"/>
      <c r="T10" s="132"/>
      <c r="U10" s="133"/>
      <c r="V10" s="133"/>
      <c r="W10" s="134"/>
      <c r="X10" s="134"/>
      <c r="Y10" s="93"/>
      <c r="Z10" s="94"/>
      <c r="AA10" s="81" t="s">
        <v>7</v>
      </c>
      <c r="AB10" s="95"/>
    </row>
    <row r="11" ht="172.5" customHeight="1" spans="1:28">
      <c r="A11" s="121">
        <v>8</v>
      </c>
      <c r="B11" s="142"/>
      <c r="C11" s="123"/>
      <c r="D11" s="124"/>
      <c r="E11" s="123"/>
      <c r="F11" s="121"/>
      <c r="G11" s="141"/>
      <c r="H11" s="121"/>
      <c r="I11" s="121"/>
      <c r="J11" s="123"/>
      <c r="K11" s="124"/>
      <c r="L11" s="127"/>
      <c r="M11" s="145"/>
      <c r="N11" s="128"/>
      <c r="O11" s="129"/>
      <c r="P11" s="130"/>
      <c r="Q11" s="131"/>
      <c r="R11" s="131"/>
      <c r="S11" s="129"/>
      <c r="T11" s="132"/>
      <c r="U11" s="133"/>
      <c r="V11" s="133"/>
      <c r="W11" s="134"/>
      <c r="X11" s="134"/>
      <c r="Y11" s="93"/>
      <c r="Z11" s="94"/>
      <c r="AA11" s="81" t="s">
        <v>7</v>
      </c>
      <c r="AB11" s="95"/>
    </row>
    <row r="12" ht="172.5" customHeight="1" spans="1:28">
      <c r="A12" s="121">
        <v>9</v>
      </c>
      <c r="B12" s="142"/>
      <c r="C12" s="123"/>
      <c r="D12" s="124"/>
      <c r="E12" s="123"/>
      <c r="F12" s="121"/>
      <c r="G12" s="141"/>
      <c r="H12" s="121"/>
      <c r="I12" s="121"/>
      <c r="J12" s="123"/>
      <c r="K12" s="124"/>
      <c r="L12" s="127"/>
      <c r="M12" s="145"/>
      <c r="N12" s="128"/>
      <c r="O12" s="129"/>
      <c r="P12" s="130"/>
      <c r="Q12" s="131"/>
      <c r="R12" s="131"/>
      <c r="S12" s="129"/>
      <c r="T12" s="132"/>
      <c r="U12" s="133"/>
      <c r="V12" s="133"/>
      <c r="W12" s="134"/>
      <c r="X12" s="134" t="s">
        <v>7</v>
      </c>
      <c r="Y12" s="93"/>
      <c r="Z12" s="94"/>
      <c r="AA12" s="81" t="s">
        <v>7</v>
      </c>
      <c r="AB12" s="95"/>
    </row>
    <row r="13" ht="172.5" customHeight="1" spans="1:28">
      <c r="A13" s="121"/>
      <c r="B13" s="142"/>
      <c r="C13" s="123"/>
      <c r="D13" s="124"/>
      <c r="E13" s="123"/>
      <c r="F13" s="121"/>
      <c r="G13" s="146"/>
      <c r="H13" s="121"/>
      <c r="I13" s="121"/>
      <c r="J13" s="123"/>
      <c r="K13" s="124"/>
      <c r="L13" s="127"/>
      <c r="M13" s="145"/>
      <c r="N13" s="128"/>
      <c r="O13" s="129"/>
      <c r="P13" s="130"/>
      <c r="Q13" s="131"/>
      <c r="R13" s="131"/>
      <c r="S13" s="129"/>
      <c r="T13" s="132"/>
      <c r="U13" s="133"/>
      <c r="V13" s="133"/>
      <c r="W13" s="134"/>
      <c r="X13" s="134" t="s">
        <v>7</v>
      </c>
      <c r="Y13" s="93"/>
      <c r="Z13" s="94"/>
      <c r="AA13" s="81" t="s">
        <v>7</v>
      </c>
      <c r="AB13" s="95"/>
    </row>
    <row r="14" customHeight="1" spans="1:28">
      <c r="A14" s="147" t="s">
        <v>75</v>
      </c>
      <c r="B14" s="111"/>
      <c r="C14" s="111"/>
      <c r="D14" s="124"/>
      <c r="E14" s="123"/>
      <c r="F14" s="121"/>
      <c r="G14" s="124"/>
      <c r="H14" s="148" t="s">
        <v>76</v>
      </c>
      <c r="I14" s="149"/>
      <c r="J14" s="123"/>
      <c r="K14" s="124"/>
      <c r="L14" s="127"/>
      <c r="M14" s="150"/>
      <c r="N14" s="128"/>
      <c r="O14" s="129"/>
      <c r="P14" s="130"/>
      <c r="Q14" s="131"/>
      <c r="R14" s="131"/>
      <c r="S14" s="129"/>
      <c r="T14" s="132"/>
      <c r="U14" s="133"/>
      <c r="V14" s="133"/>
      <c r="W14" s="134"/>
      <c r="X14" s="134"/>
      <c r="Y14" s="93"/>
      <c r="Z14" s="94"/>
      <c r="AA14" s="81"/>
      <c r="AB14" s="95"/>
    </row>
    <row r="15" ht="39" spans="1:28">
      <c r="A15" s="121">
        <v>1</v>
      </c>
      <c r="B15" s="122" t="s">
        <v>77</v>
      </c>
      <c r="C15" s="123" t="s">
        <v>51</v>
      </c>
      <c r="D15" s="123" t="s">
        <v>10</v>
      </c>
      <c r="E15" s="123"/>
      <c r="F15" s="123"/>
      <c r="G15" s="124"/>
      <c r="H15" s="148" t="s">
        <v>78</v>
      </c>
      <c r="I15" s="149" t="s">
        <v>79</v>
      </c>
      <c r="J15" s="123" t="s">
        <v>55</v>
      </c>
      <c r="K15" s="124"/>
      <c r="L15" s="127">
        <v>46081</v>
      </c>
      <c r="M15" s="150"/>
      <c r="N15" s="128">
        <v>1</v>
      </c>
      <c r="O15" s="129">
        <v>4190</v>
      </c>
      <c r="P15" s="130"/>
      <c r="Q15" s="131"/>
      <c r="R15" s="131"/>
      <c r="S15" s="129">
        <v>4190</v>
      </c>
      <c r="T15" s="132" t="s">
        <v>56</v>
      </c>
      <c r="U15" s="133" t="s">
        <v>80</v>
      </c>
      <c r="V15" s="133" t="s">
        <v>81</v>
      </c>
      <c r="W15" s="134"/>
      <c r="X15" s="134" t="s">
        <v>8</v>
      </c>
      <c r="Y15" s="93"/>
      <c r="Z15" s="94"/>
      <c r="AA15" s="81"/>
      <c r="AB15" s="95"/>
    </row>
    <row r="16" customHeight="1" spans="1:28">
      <c r="A16" s="121">
        <v>2</v>
      </c>
      <c r="B16" s="122" t="s">
        <v>82</v>
      </c>
      <c r="C16" s="123" t="s">
        <v>83</v>
      </c>
      <c r="D16" s="123" t="s">
        <v>10</v>
      </c>
      <c r="E16" s="123"/>
      <c r="F16" s="123"/>
      <c r="G16" s="124"/>
      <c r="H16" s="148" t="s">
        <v>84</v>
      </c>
      <c r="I16" s="149" t="s">
        <v>85</v>
      </c>
      <c r="J16" s="123" t="s">
        <v>55</v>
      </c>
      <c r="K16" s="124"/>
      <c r="L16" s="127">
        <v>46081</v>
      </c>
      <c r="M16" s="150"/>
      <c r="N16" s="128">
        <v>1</v>
      </c>
      <c r="O16" s="129">
        <v>11523</v>
      </c>
      <c r="P16" s="130"/>
      <c r="Q16" s="131"/>
      <c r="R16" s="131"/>
      <c r="S16" s="129">
        <v>11523</v>
      </c>
      <c r="T16" s="132" t="s">
        <v>56</v>
      </c>
      <c r="U16" s="133" t="s">
        <v>80</v>
      </c>
      <c r="V16" s="133" t="s">
        <v>81</v>
      </c>
      <c r="W16" s="134"/>
      <c r="X16" s="134" t="s">
        <v>8</v>
      </c>
      <c r="Y16" s="93"/>
      <c r="Z16" s="94"/>
      <c r="AA16" s="81"/>
      <c r="AB16" s="95"/>
    </row>
    <row r="17" ht="38" customHeight="1" spans="1:33">
      <c r="A17" s="121">
        <v>3</v>
      </c>
      <c r="B17" s="122" t="s">
        <v>86</v>
      </c>
      <c r="C17" s="123" t="s">
        <v>83</v>
      </c>
      <c r="D17" s="123" t="s">
        <v>10</v>
      </c>
      <c r="E17" s="123" t="s">
        <v>87</v>
      </c>
      <c r="F17" s="123"/>
      <c r="G17" s="124"/>
      <c r="H17" s="148" t="s">
        <v>87</v>
      </c>
      <c r="I17" s="149" t="s">
        <v>88</v>
      </c>
      <c r="J17" s="123" t="s">
        <v>55</v>
      </c>
      <c r="K17" s="124"/>
      <c r="L17" s="127">
        <v>46081</v>
      </c>
      <c r="M17" s="150"/>
      <c r="N17" s="128">
        <v>1</v>
      </c>
      <c r="O17" s="129">
        <v>700</v>
      </c>
      <c r="P17" s="130"/>
      <c r="Q17" s="131"/>
      <c r="R17" s="131"/>
      <c r="S17" s="129">
        <v>700</v>
      </c>
      <c r="T17" s="132" t="s">
        <v>56</v>
      </c>
      <c r="U17" s="133" t="s">
        <v>89</v>
      </c>
      <c r="V17" s="133" t="s">
        <v>90</v>
      </c>
      <c r="W17" s="134"/>
      <c r="X17" s="134" t="s">
        <v>8</v>
      </c>
      <c r="Y17" s="93"/>
      <c r="Z17" s="94"/>
      <c r="AA17" s="81"/>
      <c r="AB17" s="104"/>
    </row>
    <row r="18" s="41" customFormat="1" ht="63" customHeight="1" spans="1:33">
      <c r="A18" s="79">
        <v>4</v>
      </c>
      <c r="B18" s="151" t="str">
        <f>IFERROR(VLOOKUP(C18,reference!$D$9:$E$30,2,0),"")</f>
        <v>Logistics</v>
      </c>
      <c r="C18" s="80" t="s">
        <v>91</v>
      </c>
      <c r="D18" s="123" t="s">
        <v>13</v>
      </c>
      <c r="E18" s="80" t="s">
        <v>92</v>
      </c>
      <c r="F18" s="79"/>
      <c r="G18" s="152"/>
      <c r="H18" s="79" t="s">
        <v>93</v>
      </c>
      <c r="I18" s="103" t="s">
        <v>94</v>
      </c>
      <c r="J18" s="80" t="s">
        <v>55</v>
      </c>
      <c r="K18" s="81"/>
      <c r="L18" s="127">
        <v>46081</v>
      </c>
      <c r="M18" s="103" t="s">
        <v>95</v>
      </c>
      <c r="N18" s="86">
        <v>1</v>
      </c>
      <c r="O18" s="87">
        <v>1300</v>
      </c>
      <c r="P18" s="88"/>
      <c r="Q18" s="89"/>
      <c r="R18" s="89"/>
      <c r="S18" s="129">
        <f>N18*O18+P18</f>
        <v>1300</v>
      </c>
      <c r="T18" s="90" t="s">
        <v>56</v>
      </c>
      <c r="U18" s="91" t="s">
        <v>96</v>
      </c>
      <c r="V18" s="91" t="s">
        <v>97</v>
      </c>
      <c r="W18" s="92"/>
      <c r="X18" s="93" t="s">
        <v>8</v>
      </c>
      <c r="Y18" s="93"/>
      <c r="Z18" s="94"/>
      <c r="AA18" s="81"/>
      <c r="AB18" s="104"/>
      <c r="AC18" s="153"/>
      <c r="AD18" s="98"/>
      <c r="AE18" s="99"/>
      <c r="AF18" s="100"/>
      <c r="AG18" s="101"/>
    </row>
    <row r="19" s="41" customFormat="1" ht="63" customHeight="1" spans="1:33">
      <c r="A19" s="79">
        <v>5</v>
      </c>
      <c r="B19" s="151"/>
      <c r="C19" s="154" t="s">
        <v>98</v>
      </c>
      <c r="D19" s="124" t="s">
        <v>11</v>
      </c>
      <c r="E19" s="80"/>
      <c r="F19" s="79"/>
      <c r="G19" s="152"/>
      <c r="H19" s="79" t="s">
        <v>99</v>
      </c>
      <c r="I19" s="149" t="s">
        <v>100</v>
      </c>
      <c r="J19" s="123" t="s">
        <v>55</v>
      </c>
      <c r="K19" s="124"/>
      <c r="L19" s="127">
        <v>46081</v>
      </c>
      <c r="M19" s="150" t="s">
        <v>101</v>
      </c>
      <c r="N19" s="128">
        <v>1</v>
      </c>
      <c r="O19" s="129">
        <v>1000</v>
      </c>
      <c r="P19" s="130"/>
      <c r="Q19" s="131"/>
      <c r="R19" s="131"/>
      <c r="S19" s="129">
        <v>1000</v>
      </c>
      <c r="T19" s="132" t="s">
        <v>56</v>
      </c>
      <c r="U19" s="91" t="s">
        <v>102</v>
      </c>
      <c r="V19" s="91" t="s">
        <v>103</v>
      </c>
      <c r="W19" s="92"/>
      <c r="X19" s="93" t="s">
        <v>8</v>
      </c>
      <c r="Y19" s="93"/>
      <c r="Z19" s="94"/>
      <c r="AA19" s="81"/>
      <c r="AB19" s="104"/>
      <c r="AC19" s="153"/>
      <c r="AD19" s="98"/>
      <c r="AE19" s="99"/>
      <c r="AF19" s="100"/>
      <c r="AG19" s="101"/>
    </row>
    <row r="20" s="41" customFormat="1" ht="63" customHeight="1" spans="1:33">
      <c r="A20" s="79"/>
      <c r="B20" s="151"/>
      <c r="C20" s="80"/>
      <c r="D20" s="81"/>
      <c r="E20" s="80"/>
      <c r="F20" s="79"/>
      <c r="G20" s="152"/>
      <c r="H20" s="79"/>
      <c r="I20" s="103"/>
      <c r="J20" s="80"/>
      <c r="K20" s="81"/>
      <c r="L20" s="80"/>
      <c r="M20" s="103"/>
      <c r="N20" s="86"/>
      <c r="O20" s="87"/>
      <c r="P20" s="88"/>
      <c r="Q20" s="89"/>
      <c r="R20" s="89"/>
      <c r="S20" s="89"/>
      <c r="T20" s="90"/>
      <c r="U20" s="91"/>
      <c r="V20" s="91"/>
      <c r="W20" s="92"/>
      <c r="X20" s="93"/>
      <c r="Y20" s="93"/>
      <c r="Z20" s="94"/>
      <c r="AA20" s="81"/>
      <c r="AB20" s="104"/>
      <c r="AC20" s="153"/>
      <c r="AD20" s="98"/>
      <c r="AE20" s="99"/>
      <c r="AF20" s="100"/>
      <c r="AG20" s="101"/>
    </row>
    <row r="21" s="41" customFormat="1" customHeight="1" spans="1:33">
      <c r="A21" s="79"/>
      <c r="B21" s="151"/>
      <c r="C21" s="80"/>
      <c r="D21" s="81"/>
      <c r="E21" s="80"/>
      <c r="F21" s="79"/>
      <c r="G21" s="152"/>
      <c r="H21" s="79"/>
      <c r="I21" s="103"/>
      <c r="J21" s="80"/>
      <c r="K21" s="81"/>
      <c r="L21" s="80"/>
      <c r="M21" s="103"/>
      <c r="N21" s="86"/>
      <c r="O21" s="87"/>
      <c r="P21" s="88"/>
      <c r="Q21" s="89"/>
      <c r="R21" s="89"/>
      <c r="S21" s="89"/>
      <c r="T21" s="90"/>
      <c r="U21" s="91"/>
      <c r="V21" s="91"/>
      <c r="W21" s="92"/>
      <c r="X21" s="93"/>
      <c r="Y21" s="93"/>
      <c r="Z21" s="94"/>
      <c r="AA21" s="81"/>
      <c r="AB21" s="104"/>
      <c r="AC21" s="153"/>
      <c r="AD21" s="98"/>
      <c r="AE21" s="99"/>
      <c r="AF21" s="100"/>
      <c r="AG21" s="101"/>
    </row>
    <row r="22" customHeight="1" spans="1:33">
      <c r="Y22" s="93"/>
      <c r="Z22" s="94"/>
      <c r="AA22" s="81"/>
      <c r="AB22" s="104"/>
    </row>
  </sheetData>
  <sheetProtection formatCells="0" insertHyperlinks="0" autoFilter="0"/>
  <mergeCells count="6">
    <mergeCell ref="A1:G1"/>
    <mergeCell ref="H1:N1"/>
    <mergeCell ref="O1:X1"/>
    <mergeCell ref="Y1:AB1"/>
    <mergeCell ref="A3:C3"/>
    <mergeCell ref="A14:C14"/>
  </mergeCells>
  <conditionalFormatting sqref="K21">
    <cfRule type="duplicateValues" dxfId="0" priority="2"/>
  </conditionalFormatting>
  <conditionalFormatting sqref="K18 K20">
    <cfRule type="duplicateValues" dxfId="0" priority="1"/>
  </conditionalFormatting>
  <dataValidations count="8">
    <dataValidation allowBlank="1" showInputMessage="1" showErrorMessage="1" sqref="AA2:AB2 AB5 AB7:AB11 AB14:AB22"/>
    <dataValidation allowBlank="1" showInputMessage="1" showErrorMessage="1" error="请按“年年年年-月月-日日”格式填写" sqref="Z3 Z7:Z13"/>
    <dataValidation type="list" allowBlank="1" showInputMessage="1" showErrorMessage="1" sqref="AA3">
      <formula1>"Monthly,Extraordinary"</formula1>
    </dataValidation>
    <dataValidation type="list" allowBlank="1" showInputMessage="1" showErrorMessage="1" sqref="D20 F1:F47">
      <formula1>reference!$U$1:$U$19</formula1>
    </dataValidation>
    <dataValidation type="list" allowBlank="1" showInputMessage="1" showErrorMessage="1" sqref="C1:C42">
      <formula1>reference!$D$10:$D$34</formula1>
    </dataValidation>
    <dataValidation type="list" allowBlank="1" showInputMessage="1" showErrorMessage="1" sqref="D1:D19 D21:D1048576">
      <formula1>reference!$S$2:$S$19</formula1>
    </dataValidation>
    <dataValidation type="list" allowBlank="1" showInputMessage="1" showErrorMessage="1" sqref="T1:T42">
      <formula1>"GBP,EUR,USD,RMB"</formula1>
    </dataValidation>
    <dataValidation type="list" allowBlank="1" showInputMessage="1" showErrorMessage="1" sqref="AA4:AA22">
      <formula1>"Monthly,Temporary,Extraordinary"</formula1>
    </dataValidation>
  </dataValidation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E4E79"/>
    <outlinePr summaryBelow="0" summaryRight="0"/>
  </sheetPr>
  <dimension ref="A1:AG165"/>
  <sheetViews>
    <sheetView showGridLines="0" workbookViewId="0">
      <pane ySplit="2" topLeftCell="A3" activePane="bottomLeft" state="frozen"/>
      <selection/>
      <selection pane="bottomLeft" activeCell="K3" sqref="K3"/>
    </sheetView>
  </sheetViews>
  <sheetFormatPr defaultColWidth="8.83333333333333" defaultRowHeight="26.25" customHeight="1"/>
  <cols>
    <col min="1" max="1" width="8.16666666666667" style="42" customWidth="1"/>
    <col min="2" max="2" width="10.5" style="42" customWidth="1"/>
    <col min="3" max="4" width="15.1666666666667" style="42" customWidth="1" outlineLevel="1"/>
    <col min="5" max="5" width="17.5" style="42" customWidth="1" outlineLevel="1"/>
    <col min="6" max="6" width="10.8333333333333" style="42" customWidth="1" outlineLevel="1"/>
    <col min="7" max="7" width="13.1666666666667" style="42" customWidth="1" outlineLevel="1"/>
    <col min="8" max="8" width="16.3333333333333" style="42" customWidth="1"/>
    <col min="9" max="9" width="21.6666666666667" style="42" customWidth="1"/>
    <col min="10" max="10" width="10.1666666666667" style="42" customWidth="1"/>
    <col min="11" max="11" width="14.1666666666667" style="42" customWidth="1"/>
    <col min="12" max="12" width="14.1666666666667" style="43" customWidth="1"/>
    <col min="13" max="13" width="18" style="42" customWidth="1"/>
    <col min="14" max="14" width="9.5" style="44" customWidth="1"/>
    <col min="15" max="15" width="13" style="45" customWidth="1"/>
    <col min="16" max="16" width="11" style="45" customWidth="1"/>
    <col min="17" max="17" width="14.8333333333333" style="45" customWidth="1"/>
    <col min="18" max="18" width="9.83333333333333" style="45" customWidth="1" outlineLevel="1"/>
    <col min="19" max="19" width="13.1666666666667" style="45" customWidth="1" outlineLevel="1"/>
    <col min="20" max="20" width="12.1666666666667" style="42" customWidth="1" outlineLevel="1"/>
    <col min="21" max="21" width="11.8333333333333" style="42" customWidth="1" outlineLevel="1"/>
    <col min="22" max="22" width="20.6666666666667" style="42" customWidth="1" outlineLevel="1"/>
    <col min="23" max="23" width="24.6666666666667" style="42" customWidth="1"/>
    <col min="24" max="24" width="16.1666666666667" style="42" customWidth="1" outlineLevel="1"/>
    <col min="25" max="25" width="17.6666666666667" style="42" customWidth="1" outlineLevel="1"/>
    <col min="26" max="26" width="18.1666666666667" style="42" customWidth="1" outlineLevel="1"/>
    <col min="27" max="27" width="19" style="42" customWidth="1" outlineLevel="1"/>
    <col min="28" max="28" width="10.6666666666667" style="42" customWidth="1" outlineLevel="1"/>
    <col min="29" max="29" width="15.6666666666667" style="43" customWidth="1" outlineLevel="1"/>
    <col min="30" max="30" width="21.1666666666667" style="42" customWidth="1" outlineLevel="1"/>
    <col min="31" max="31" width="8.66666666666667" style="42" customWidth="1" outlineLevel="1"/>
    <col min="32" max="32" width="16.3333333333333" style="43" customWidth="1" outlineLevel="1"/>
    <col min="33" max="33" width="8.83333333333333" style="42"/>
    <col min="34" max="40" width="8.83333333333333" style="46"/>
  </cols>
  <sheetData>
    <row r="1" customHeight="1" spans="1:33">
      <c r="A1" s="47" t="s">
        <v>18</v>
      </c>
      <c r="B1" s="47"/>
      <c r="C1" s="47"/>
      <c r="D1" s="47"/>
      <c r="E1" s="47"/>
      <c r="F1" s="47"/>
      <c r="G1" s="47"/>
      <c r="H1" s="48" t="s">
        <v>19</v>
      </c>
      <c r="I1" s="47"/>
      <c r="J1" s="47"/>
      <c r="K1" s="47"/>
      <c r="L1" s="47"/>
      <c r="M1" s="47"/>
      <c r="N1" s="49"/>
      <c r="O1" s="50" t="s">
        <v>20</v>
      </c>
      <c r="P1" s="51"/>
      <c r="Q1" s="51"/>
      <c r="R1" s="51"/>
      <c r="S1" s="51"/>
      <c r="T1" s="51"/>
      <c r="U1" s="51"/>
      <c r="V1" s="51"/>
      <c r="W1" s="52"/>
      <c r="X1" s="53" t="s">
        <v>21</v>
      </c>
      <c r="Y1" s="54"/>
      <c r="Z1" s="54"/>
      <c r="AA1" s="55"/>
      <c r="AB1" s="56" t="s">
        <v>104</v>
      </c>
      <c r="AC1" s="57"/>
      <c r="AD1" s="57"/>
      <c r="AE1" s="58" t="s">
        <v>105</v>
      </c>
      <c r="AF1" s="59"/>
    </row>
    <row r="2" customHeight="1" spans="1:33">
      <c r="A2" s="60" t="s">
        <v>22</v>
      </c>
      <c r="B2" s="60" t="s">
        <v>106</v>
      </c>
      <c r="C2" s="61" t="s">
        <v>24</v>
      </c>
      <c r="D2" s="61" t="s">
        <v>25</v>
      </c>
      <c r="E2" s="61" t="s">
        <v>107</v>
      </c>
      <c r="F2" s="61" t="s">
        <v>27</v>
      </c>
      <c r="G2" s="62" t="s">
        <v>28</v>
      </c>
      <c r="H2" s="63" t="s">
        <v>29</v>
      </c>
      <c r="I2" s="61" t="s">
        <v>30</v>
      </c>
      <c r="J2" s="61" t="s">
        <v>31</v>
      </c>
      <c r="K2" s="62" t="s">
        <v>32</v>
      </c>
      <c r="L2" s="64" t="s">
        <v>33</v>
      </c>
      <c r="M2" s="62" t="s">
        <v>34</v>
      </c>
      <c r="N2" s="65" t="s">
        <v>35</v>
      </c>
      <c r="O2" s="66" t="s">
        <v>36</v>
      </c>
      <c r="P2" s="67" t="s">
        <v>37</v>
      </c>
      <c r="Q2" s="67" t="s">
        <v>38</v>
      </c>
      <c r="R2" s="67" t="s">
        <v>39</v>
      </c>
      <c r="S2" s="67" t="s">
        <v>40</v>
      </c>
      <c r="T2" s="68" t="s">
        <v>41</v>
      </c>
      <c r="U2" s="69" t="s">
        <v>42</v>
      </c>
      <c r="V2" s="70" t="s">
        <v>43</v>
      </c>
      <c r="W2" s="71" t="s">
        <v>44</v>
      </c>
      <c r="X2" s="72" t="s">
        <v>46</v>
      </c>
      <c r="Y2" s="73" t="s">
        <v>47</v>
      </c>
      <c r="Z2" s="74" t="s">
        <v>48</v>
      </c>
      <c r="AA2" s="74" t="s">
        <v>49</v>
      </c>
      <c r="AB2" s="75" t="s">
        <v>108</v>
      </c>
      <c r="AC2" s="76" t="s">
        <v>109</v>
      </c>
      <c r="AD2" s="77" t="s">
        <v>110</v>
      </c>
      <c r="AE2" s="58" t="s">
        <v>111</v>
      </c>
      <c r="AF2" s="78" t="s">
        <v>112</v>
      </c>
    </row>
    <row r="3" s="41" customFormat="1" customHeight="1" spans="1:33">
      <c r="A3" s="79">
        <v>1</v>
      </c>
      <c r="B3" s="79"/>
      <c r="C3" s="80">
        <v>6600800200</v>
      </c>
      <c r="D3" s="80"/>
      <c r="E3" s="80"/>
      <c r="F3" s="80"/>
      <c r="G3" s="81"/>
      <c r="H3" s="82"/>
      <c r="I3" s="83"/>
      <c r="J3" s="80"/>
      <c r="K3" s="81"/>
      <c r="L3" s="84"/>
      <c r="M3" s="85"/>
      <c r="N3" s="86"/>
      <c r="O3" s="87"/>
      <c r="P3" s="88"/>
      <c r="Q3" s="89">
        <f t="shared" ref="Q3:Q34" si="0">O3*N3+P3</f>
        <v>0</v>
      </c>
      <c r="R3" s="89">
        <f t="shared" ref="R3:R34" si="1">Q3*0.2</f>
        <v>0</v>
      </c>
      <c r="S3" s="89">
        <f t="shared" ref="S3:S34" si="2">R3+Q3</f>
        <v>0</v>
      </c>
      <c r="T3" s="90"/>
      <c r="U3" s="91"/>
      <c r="V3" s="91"/>
      <c r="W3" s="92"/>
      <c r="X3" s="93"/>
      <c r="Y3" s="94"/>
      <c r="Z3" s="81" t="s">
        <v>7</v>
      </c>
      <c r="AA3" s="95" t="str">
        <f>"SW-NCH-"&amp;LEFT(Z3,1)&amp;"-202410-"&amp;E3</f>
        <v>SW-NCH-M-202410-</v>
      </c>
      <c r="AB3" s="96"/>
      <c r="AC3" s="97"/>
      <c r="AD3" s="98"/>
      <c r="AE3" s="99"/>
      <c r="AF3" s="100"/>
      <c r="AG3" s="101"/>
    </row>
    <row r="4" s="41" customFormat="1" customHeight="1" spans="1:33">
      <c r="A4" s="79">
        <v>2</v>
      </c>
      <c r="B4" s="79"/>
      <c r="C4" s="80">
        <v>6600800200</v>
      </c>
      <c r="D4" s="80"/>
      <c r="E4" s="80"/>
      <c r="F4" s="80"/>
      <c r="G4" s="81"/>
      <c r="H4" s="102"/>
      <c r="I4" s="103"/>
      <c r="J4" s="80"/>
      <c r="K4" s="81"/>
      <c r="L4" s="84"/>
      <c r="M4" s="85"/>
      <c r="N4" s="86"/>
      <c r="O4" s="87"/>
      <c r="P4" s="88"/>
      <c r="Q4" s="89">
        <f t="shared" si="0"/>
        <v>0</v>
      </c>
      <c r="R4" s="89">
        <f t="shared" si="1"/>
        <v>0</v>
      </c>
      <c r="S4" s="89">
        <f t="shared" si="2"/>
        <v>0</v>
      </c>
      <c r="T4" s="90"/>
      <c r="U4" s="91"/>
      <c r="V4" s="91"/>
      <c r="W4" s="92"/>
      <c r="X4" s="93"/>
      <c r="Y4" s="94"/>
      <c r="Z4" s="81"/>
      <c r="AA4" s="104"/>
      <c r="AB4" s="99"/>
      <c r="AC4" s="105"/>
      <c r="AD4" s="98"/>
      <c r="AE4" s="99"/>
      <c r="AF4" s="100"/>
      <c r="AG4" s="101"/>
    </row>
    <row r="5" s="41" customFormat="1" customHeight="1" spans="1:33">
      <c r="A5" s="79">
        <v>3</v>
      </c>
      <c r="B5" s="79"/>
      <c r="C5" s="80">
        <v>6600800200</v>
      </c>
      <c r="D5" s="80"/>
      <c r="E5" s="80"/>
      <c r="F5" s="80"/>
      <c r="G5" s="81"/>
      <c r="H5" s="106"/>
      <c r="I5" s="107"/>
      <c r="J5" s="108"/>
      <c r="K5" s="109"/>
      <c r="L5" s="84"/>
      <c r="M5" s="85"/>
      <c r="N5" s="110"/>
      <c r="O5" s="87"/>
      <c r="P5" s="88"/>
      <c r="Q5" s="89">
        <f t="shared" si="0"/>
        <v>0</v>
      </c>
      <c r="R5" s="89">
        <f t="shared" si="1"/>
        <v>0</v>
      </c>
      <c r="S5" s="89">
        <f t="shared" si="2"/>
        <v>0</v>
      </c>
      <c r="T5" s="90"/>
      <c r="U5" s="91"/>
      <c r="V5" s="91"/>
      <c r="W5" s="92"/>
      <c r="X5" s="93"/>
      <c r="Y5" s="94"/>
      <c r="Z5" s="81"/>
      <c r="AA5" s="104"/>
      <c r="AB5" s="96"/>
      <c r="AC5" s="97"/>
      <c r="AD5" s="98"/>
      <c r="AE5" s="99"/>
      <c r="AF5" s="100"/>
      <c r="AG5" s="101"/>
    </row>
    <row r="6" s="41" customFormat="1" customHeight="1" spans="1:33">
      <c r="A6" s="79">
        <v>4</v>
      </c>
      <c r="B6" s="79"/>
      <c r="C6" s="80">
        <v>6600800200</v>
      </c>
      <c r="D6" s="80"/>
      <c r="E6" s="80"/>
      <c r="F6" s="80"/>
      <c r="G6" s="81"/>
      <c r="H6" s="106"/>
      <c r="I6" s="107"/>
      <c r="J6" s="108"/>
      <c r="K6" s="81"/>
      <c r="L6" s="84"/>
      <c r="M6" s="85"/>
      <c r="N6" s="110"/>
      <c r="O6" s="87"/>
      <c r="P6" s="88"/>
      <c r="Q6" s="89">
        <f t="shared" si="0"/>
        <v>0</v>
      </c>
      <c r="R6" s="89">
        <f t="shared" si="1"/>
        <v>0</v>
      </c>
      <c r="S6" s="89">
        <f t="shared" si="2"/>
        <v>0</v>
      </c>
      <c r="T6" s="90"/>
      <c r="U6" s="91"/>
      <c r="V6" s="91"/>
      <c r="W6" s="92"/>
      <c r="X6" s="93"/>
      <c r="Y6" s="94"/>
      <c r="Z6" s="81"/>
      <c r="AA6" s="104"/>
      <c r="AB6" s="96"/>
      <c r="AC6" s="97"/>
      <c r="AD6" s="98"/>
      <c r="AE6" s="99"/>
      <c r="AF6" s="100"/>
      <c r="AG6" s="101"/>
    </row>
    <row r="7" s="41" customFormat="1" customHeight="1" spans="1:33">
      <c r="A7" s="79">
        <v>5</v>
      </c>
      <c r="B7" s="79"/>
      <c r="C7" s="80">
        <v>6600800200</v>
      </c>
      <c r="D7" s="80"/>
      <c r="E7" s="80"/>
      <c r="F7" s="80"/>
      <c r="G7" s="81"/>
      <c r="H7" s="106"/>
      <c r="I7" s="107"/>
      <c r="J7" s="108"/>
      <c r="K7" s="81"/>
      <c r="L7" s="84"/>
      <c r="M7" s="85"/>
      <c r="N7" s="110"/>
      <c r="O7" s="87"/>
      <c r="P7" s="88"/>
      <c r="Q7" s="89">
        <f t="shared" si="0"/>
        <v>0</v>
      </c>
      <c r="R7" s="89">
        <f t="shared" si="1"/>
        <v>0</v>
      </c>
      <c r="S7" s="89">
        <f t="shared" si="2"/>
        <v>0</v>
      </c>
      <c r="T7" s="90"/>
      <c r="U7" s="91"/>
      <c r="V7" s="91"/>
      <c r="W7" s="92"/>
      <c r="X7" s="93"/>
      <c r="Y7" s="94"/>
      <c r="Z7" s="81"/>
      <c r="AA7" s="104"/>
      <c r="AB7" s="96"/>
      <c r="AC7" s="105"/>
      <c r="AD7" s="98"/>
      <c r="AE7" s="99"/>
      <c r="AF7" s="100"/>
      <c r="AG7" s="101"/>
    </row>
    <row r="8" s="41" customFormat="1" customHeight="1" spans="1:33">
      <c r="A8" s="79">
        <v>6</v>
      </c>
      <c r="B8" s="79"/>
      <c r="C8" s="80">
        <v>6600800200</v>
      </c>
      <c r="D8" s="80"/>
      <c r="E8" s="80"/>
      <c r="F8" s="80"/>
      <c r="G8" s="81"/>
      <c r="H8" s="102"/>
      <c r="I8" s="103"/>
      <c r="J8" s="80"/>
      <c r="K8" s="81"/>
      <c r="L8" s="84"/>
      <c r="M8" s="85"/>
      <c r="N8" s="86"/>
      <c r="O8" s="87"/>
      <c r="P8" s="88"/>
      <c r="Q8" s="89">
        <f t="shared" si="0"/>
        <v>0</v>
      </c>
      <c r="R8" s="89">
        <f t="shared" si="1"/>
        <v>0</v>
      </c>
      <c r="S8" s="89">
        <f t="shared" si="2"/>
        <v>0</v>
      </c>
      <c r="T8" s="90"/>
      <c r="U8" s="91"/>
      <c r="V8" s="91"/>
      <c r="W8" s="92"/>
      <c r="X8" s="93"/>
      <c r="Y8" s="94"/>
      <c r="Z8" s="81"/>
      <c r="AA8" s="104"/>
      <c r="AB8" s="96"/>
      <c r="AC8" s="105"/>
      <c r="AD8" s="98"/>
      <c r="AE8" s="99"/>
      <c r="AF8" s="100"/>
      <c r="AG8" s="101"/>
    </row>
    <row r="9" s="41" customFormat="1" customHeight="1" spans="1:33">
      <c r="A9" s="79"/>
      <c r="B9" s="79"/>
      <c r="C9" s="80"/>
      <c r="D9" s="80"/>
      <c r="E9" s="80"/>
      <c r="F9" s="80"/>
      <c r="G9" s="81"/>
      <c r="H9" s="82"/>
      <c r="I9" s="83"/>
      <c r="J9" s="80"/>
      <c r="K9" s="81"/>
      <c r="L9" s="84"/>
      <c r="M9" s="85"/>
      <c r="N9" s="86"/>
      <c r="O9" s="87"/>
      <c r="P9" s="88"/>
      <c r="Q9" s="89">
        <f t="shared" si="0"/>
        <v>0</v>
      </c>
      <c r="R9" s="89">
        <f t="shared" si="1"/>
        <v>0</v>
      </c>
      <c r="S9" s="89">
        <f t="shared" si="2"/>
        <v>0</v>
      </c>
      <c r="T9" s="90"/>
      <c r="U9" s="91"/>
      <c r="V9" s="91"/>
      <c r="W9" s="92"/>
      <c r="X9" s="93"/>
      <c r="Y9" s="94"/>
      <c r="Z9" s="81"/>
      <c r="AA9" s="95"/>
      <c r="AB9" s="96"/>
      <c r="AC9" s="97"/>
      <c r="AD9" s="98"/>
      <c r="AE9" s="99"/>
      <c r="AF9" s="100"/>
      <c r="AG9" s="101"/>
    </row>
    <row r="10" s="41" customFormat="1" customHeight="1" spans="1:33">
      <c r="A10" s="79"/>
      <c r="B10" s="79"/>
      <c r="C10" s="80"/>
      <c r="D10" s="80"/>
      <c r="E10" s="80"/>
      <c r="F10" s="80"/>
      <c r="G10" s="81"/>
      <c r="H10" s="82"/>
      <c r="I10" s="83"/>
      <c r="J10" s="80"/>
      <c r="K10" s="81"/>
      <c r="L10" s="84"/>
      <c r="M10" s="85"/>
      <c r="N10" s="86"/>
      <c r="O10" s="87"/>
      <c r="P10" s="88"/>
      <c r="Q10" s="89">
        <f t="shared" si="0"/>
        <v>0</v>
      </c>
      <c r="R10" s="89">
        <f t="shared" si="1"/>
        <v>0</v>
      </c>
      <c r="S10" s="89">
        <f t="shared" si="2"/>
        <v>0</v>
      </c>
      <c r="T10" s="90"/>
      <c r="U10" s="91"/>
      <c r="V10" s="91"/>
      <c r="W10" s="92"/>
      <c r="X10" s="93"/>
      <c r="Y10" s="94"/>
      <c r="Z10" s="81"/>
      <c r="AA10" s="95"/>
      <c r="AB10" s="96"/>
      <c r="AC10" s="97"/>
      <c r="AD10" s="98"/>
      <c r="AE10" s="99"/>
      <c r="AF10" s="100"/>
      <c r="AG10" s="101"/>
    </row>
    <row r="11" s="41" customFormat="1" customHeight="1" spans="1:33">
      <c r="A11" s="79"/>
      <c r="B11" s="79"/>
      <c r="C11" s="80"/>
      <c r="D11" s="80"/>
      <c r="E11" s="80"/>
      <c r="F11" s="80"/>
      <c r="G11" s="81"/>
      <c r="H11" s="82"/>
      <c r="I11" s="83"/>
      <c r="J11" s="80"/>
      <c r="K11" s="81"/>
      <c r="L11" s="84"/>
      <c r="M11" s="85"/>
      <c r="N11" s="86"/>
      <c r="O11" s="87"/>
      <c r="P11" s="88"/>
      <c r="Q11" s="89">
        <f t="shared" si="0"/>
        <v>0</v>
      </c>
      <c r="R11" s="89">
        <f t="shared" si="1"/>
        <v>0</v>
      </c>
      <c r="S11" s="89">
        <f t="shared" si="2"/>
        <v>0</v>
      </c>
      <c r="T11" s="90"/>
      <c r="U11" s="91"/>
      <c r="V11" s="91"/>
      <c r="W11" s="92"/>
      <c r="X11" s="93"/>
      <c r="Y11" s="94"/>
      <c r="Z11" s="81"/>
      <c r="AA11" s="95"/>
      <c r="AB11" s="96"/>
      <c r="AC11" s="97"/>
      <c r="AD11" s="98"/>
      <c r="AE11" s="99"/>
      <c r="AF11" s="100"/>
      <c r="AG11" s="101"/>
    </row>
    <row r="12" s="41" customFormat="1" customHeight="1" spans="1:33">
      <c r="A12" s="79"/>
      <c r="B12" s="79"/>
      <c r="C12" s="80"/>
      <c r="D12" s="80"/>
      <c r="E12" s="80"/>
      <c r="F12" s="80"/>
      <c r="G12" s="81"/>
      <c r="H12" s="82"/>
      <c r="I12" s="83"/>
      <c r="J12" s="80"/>
      <c r="K12" s="81"/>
      <c r="L12" s="84"/>
      <c r="M12" s="85"/>
      <c r="N12" s="86"/>
      <c r="O12" s="87"/>
      <c r="P12" s="88"/>
      <c r="Q12" s="89">
        <f t="shared" si="0"/>
        <v>0</v>
      </c>
      <c r="R12" s="89">
        <f t="shared" si="1"/>
        <v>0</v>
      </c>
      <c r="S12" s="89">
        <f t="shared" si="2"/>
        <v>0</v>
      </c>
      <c r="T12" s="90"/>
      <c r="U12" s="91"/>
      <c r="V12" s="91"/>
      <c r="W12" s="92"/>
      <c r="X12" s="93"/>
      <c r="Y12" s="94"/>
      <c r="Z12" s="81"/>
      <c r="AA12" s="95"/>
      <c r="AB12" s="96"/>
      <c r="AC12" s="97"/>
      <c r="AD12" s="98"/>
      <c r="AE12" s="99"/>
      <c r="AF12" s="100"/>
      <c r="AG12" s="101"/>
    </row>
    <row r="13" s="41" customFormat="1" customHeight="1" spans="1:33">
      <c r="A13" s="79"/>
      <c r="B13" s="79"/>
      <c r="C13" s="80"/>
      <c r="D13" s="80"/>
      <c r="E13" s="80"/>
      <c r="F13" s="80"/>
      <c r="G13" s="81"/>
      <c r="H13" s="82"/>
      <c r="I13" s="83"/>
      <c r="J13" s="80"/>
      <c r="K13" s="81"/>
      <c r="L13" s="84"/>
      <c r="M13" s="85"/>
      <c r="N13" s="86"/>
      <c r="O13" s="87"/>
      <c r="P13" s="88"/>
      <c r="Q13" s="89">
        <f t="shared" si="0"/>
        <v>0</v>
      </c>
      <c r="R13" s="89">
        <f t="shared" si="1"/>
        <v>0</v>
      </c>
      <c r="S13" s="89">
        <f t="shared" si="2"/>
        <v>0</v>
      </c>
      <c r="T13" s="90"/>
      <c r="U13" s="91"/>
      <c r="V13" s="91"/>
      <c r="W13" s="92"/>
      <c r="X13" s="93"/>
      <c r="Y13" s="94"/>
      <c r="Z13" s="81"/>
      <c r="AA13" s="95"/>
      <c r="AB13" s="96"/>
      <c r="AC13" s="97"/>
      <c r="AD13" s="98"/>
      <c r="AE13" s="99"/>
      <c r="AF13" s="100"/>
      <c r="AG13" s="101"/>
    </row>
    <row r="14" s="41" customFormat="1" customHeight="1" spans="1:33">
      <c r="A14" s="79"/>
      <c r="B14" s="79"/>
      <c r="C14" s="80"/>
      <c r="D14" s="80"/>
      <c r="E14" s="80"/>
      <c r="F14" s="80"/>
      <c r="G14" s="81"/>
      <c r="H14" s="82"/>
      <c r="I14" s="83"/>
      <c r="J14" s="80"/>
      <c r="K14" s="81"/>
      <c r="L14" s="84"/>
      <c r="M14" s="85"/>
      <c r="N14" s="86"/>
      <c r="O14" s="87"/>
      <c r="P14" s="88"/>
      <c r="Q14" s="89">
        <f t="shared" si="0"/>
        <v>0</v>
      </c>
      <c r="R14" s="89">
        <f t="shared" si="1"/>
        <v>0</v>
      </c>
      <c r="S14" s="89">
        <f t="shared" si="2"/>
        <v>0</v>
      </c>
      <c r="T14" s="90"/>
      <c r="U14" s="91"/>
      <c r="V14" s="91"/>
      <c r="W14" s="92"/>
      <c r="X14" s="93"/>
      <c r="Y14" s="94"/>
      <c r="Z14" s="81"/>
      <c r="AA14" s="95"/>
      <c r="AB14" s="96"/>
      <c r="AC14" s="97"/>
      <c r="AD14" s="98"/>
      <c r="AE14" s="99"/>
      <c r="AF14" s="100"/>
      <c r="AG14" s="101"/>
    </row>
    <row r="15" s="41" customFormat="1" customHeight="1" spans="1:33">
      <c r="A15" s="79"/>
      <c r="B15" s="79"/>
      <c r="C15" s="80"/>
      <c r="D15" s="80"/>
      <c r="E15" s="80"/>
      <c r="F15" s="80"/>
      <c r="G15" s="81"/>
      <c r="H15" s="82"/>
      <c r="I15" s="83"/>
      <c r="J15" s="80"/>
      <c r="K15" s="81"/>
      <c r="L15" s="84"/>
      <c r="M15" s="85"/>
      <c r="N15" s="86"/>
      <c r="O15" s="87"/>
      <c r="P15" s="88"/>
      <c r="Q15" s="89">
        <f t="shared" si="0"/>
        <v>0</v>
      </c>
      <c r="R15" s="89">
        <f t="shared" si="1"/>
        <v>0</v>
      </c>
      <c r="S15" s="89">
        <f t="shared" si="2"/>
        <v>0</v>
      </c>
      <c r="T15" s="90"/>
      <c r="U15" s="91"/>
      <c r="V15" s="91"/>
      <c r="W15" s="92"/>
      <c r="X15" s="93"/>
      <c r="Y15" s="94"/>
      <c r="Z15" s="81"/>
      <c r="AA15" s="95"/>
      <c r="AB15" s="96"/>
      <c r="AC15" s="97"/>
      <c r="AD15" s="98"/>
      <c r="AE15" s="99"/>
      <c r="AF15" s="100"/>
      <c r="AG15" s="101"/>
    </row>
    <row r="16" s="41" customFormat="1" customHeight="1" spans="1:33">
      <c r="A16" s="79"/>
      <c r="B16" s="79"/>
      <c r="C16" s="80"/>
      <c r="D16" s="80"/>
      <c r="E16" s="80"/>
      <c r="F16" s="80"/>
      <c r="G16" s="81"/>
      <c r="H16" s="82"/>
      <c r="I16" s="83"/>
      <c r="J16" s="80"/>
      <c r="K16" s="81"/>
      <c r="L16" s="84"/>
      <c r="M16" s="85"/>
      <c r="N16" s="86"/>
      <c r="O16" s="87"/>
      <c r="P16" s="88"/>
      <c r="Q16" s="89">
        <f t="shared" si="0"/>
        <v>0</v>
      </c>
      <c r="R16" s="89">
        <f t="shared" si="1"/>
        <v>0</v>
      </c>
      <c r="S16" s="89">
        <f t="shared" si="2"/>
        <v>0</v>
      </c>
      <c r="T16" s="90"/>
      <c r="U16" s="91"/>
      <c r="V16" s="91"/>
      <c r="W16" s="92"/>
      <c r="X16" s="93"/>
      <c r="Y16" s="94"/>
      <c r="Z16" s="81"/>
      <c r="AA16" s="95"/>
      <c r="AB16" s="96"/>
      <c r="AC16" s="97"/>
      <c r="AD16" s="98"/>
      <c r="AE16" s="99"/>
      <c r="AF16" s="100"/>
      <c r="AG16" s="101"/>
    </row>
    <row r="17" s="41" customFormat="1" customHeight="1" spans="1:33">
      <c r="A17" s="79"/>
      <c r="B17" s="79"/>
      <c r="C17" s="80"/>
      <c r="D17" s="80"/>
      <c r="E17" s="80"/>
      <c r="F17" s="80"/>
      <c r="G17" s="81"/>
      <c r="H17" s="82"/>
      <c r="I17" s="83"/>
      <c r="J17" s="80"/>
      <c r="K17" s="81"/>
      <c r="L17" s="84"/>
      <c r="M17" s="85"/>
      <c r="N17" s="86"/>
      <c r="O17" s="87"/>
      <c r="P17" s="88"/>
      <c r="Q17" s="89">
        <f t="shared" si="0"/>
        <v>0</v>
      </c>
      <c r="R17" s="89">
        <f t="shared" si="1"/>
        <v>0</v>
      </c>
      <c r="S17" s="89">
        <f t="shared" si="2"/>
        <v>0</v>
      </c>
      <c r="T17" s="90"/>
      <c r="U17" s="91"/>
      <c r="V17" s="91"/>
      <c r="W17" s="92"/>
      <c r="X17" s="93"/>
      <c r="Y17" s="94"/>
      <c r="Z17" s="81"/>
      <c r="AA17" s="95"/>
      <c r="AB17" s="96"/>
      <c r="AC17" s="97"/>
      <c r="AD17" s="98"/>
      <c r="AE17" s="99"/>
      <c r="AF17" s="100"/>
      <c r="AG17" s="101"/>
    </row>
    <row r="18" s="41" customFormat="1" customHeight="1" spans="1:33">
      <c r="A18" s="79"/>
      <c r="B18" s="79"/>
      <c r="C18" s="80"/>
      <c r="D18" s="80"/>
      <c r="E18" s="80"/>
      <c r="F18" s="80"/>
      <c r="G18" s="81"/>
      <c r="H18" s="82"/>
      <c r="I18" s="83"/>
      <c r="J18" s="80"/>
      <c r="K18" s="81"/>
      <c r="L18" s="84"/>
      <c r="M18" s="85"/>
      <c r="N18" s="86"/>
      <c r="O18" s="87"/>
      <c r="P18" s="88"/>
      <c r="Q18" s="89">
        <f t="shared" si="0"/>
        <v>0</v>
      </c>
      <c r="R18" s="89">
        <f t="shared" si="1"/>
        <v>0</v>
      </c>
      <c r="S18" s="89">
        <f t="shared" si="2"/>
        <v>0</v>
      </c>
      <c r="T18" s="90"/>
      <c r="U18" s="91"/>
      <c r="V18" s="91"/>
      <c r="W18" s="92"/>
      <c r="X18" s="93"/>
      <c r="Y18" s="94"/>
      <c r="Z18" s="81"/>
      <c r="AA18" s="95"/>
      <c r="AB18" s="96"/>
      <c r="AC18" s="97"/>
      <c r="AD18" s="98"/>
      <c r="AE18" s="99"/>
      <c r="AF18" s="100"/>
      <c r="AG18" s="101"/>
    </row>
    <row r="19" s="41" customFormat="1" customHeight="1" spans="1:33">
      <c r="A19" s="79"/>
      <c r="B19" s="79"/>
      <c r="C19" s="80"/>
      <c r="D19" s="80"/>
      <c r="E19" s="80"/>
      <c r="F19" s="80"/>
      <c r="G19" s="81"/>
      <c r="H19" s="82"/>
      <c r="I19" s="83"/>
      <c r="J19" s="80"/>
      <c r="K19" s="81"/>
      <c r="L19" s="84"/>
      <c r="M19" s="85"/>
      <c r="N19" s="86"/>
      <c r="O19" s="87"/>
      <c r="P19" s="88"/>
      <c r="Q19" s="89">
        <f t="shared" si="0"/>
        <v>0</v>
      </c>
      <c r="R19" s="89">
        <f t="shared" si="1"/>
        <v>0</v>
      </c>
      <c r="S19" s="89">
        <f t="shared" si="2"/>
        <v>0</v>
      </c>
      <c r="T19" s="90"/>
      <c r="U19" s="91"/>
      <c r="V19" s="91"/>
      <c r="W19" s="92"/>
      <c r="X19" s="93"/>
      <c r="Y19" s="94"/>
      <c r="Z19" s="81"/>
      <c r="AA19" s="95"/>
      <c r="AB19" s="96"/>
      <c r="AC19" s="97"/>
      <c r="AD19" s="98"/>
      <c r="AE19" s="99"/>
      <c r="AF19" s="100"/>
      <c r="AG19" s="101"/>
    </row>
    <row r="20" s="41" customFormat="1" customHeight="1" spans="1:33">
      <c r="A20" s="79"/>
      <c r="B20" s="79"/>
      <c r="C20" s="80"/>
      <c r="D20" s="80"/>
      <c r="E20" s="80"/>
      <c r="F20" s="80"/>
      <c r="G20" s="81"/>
      <c r="H20" s="82"/>
      <c r="I20" s="83"/>
      <c r="J20" s="80"/>
      <c r="K20" s="81"/>
      <c r="L20" s="84"/>
      <c r="M20" s="85"/>
      <c r="N20" s="86"/>
      <c r="O20" s="87"/>
      <c r="P20" s="88"/>
      <c r="Q20" s="89">
        <f t="shared" si="0"/>
        <v>0</v>
      </c>
      <c r="R20" s="89">
        <f t="shared" si="1"/>
        <v>0</v>
      </c>
      <c r="S20" s="89">
        <f t="shared" si="2"/>
        <v>0</v>
      </c>
      <c r="T20" s="90"/>
      <c r="U20" s="91"/>
      <c r="V20" s="91"/>
      <c r="W20" s="92"/>
      <c r="X20" s="93"/>
      <c r="Y20" s="94"/>
      <c r="Z20" s="81"/>
      <c r="AA20" s="95"/>
      <c r="AB20" s="96"/>
      <c r="AC20" s="97"/>
      <c r="AD20" s="98"/>
      <c r="AE20" s="99"/>
      <c r="AF20" s="100"/>
      <c r="AG20" s="101"/>
    </row>
    <row r="21" s="41" customFormat="1" customHeight="1" spans="1:33">
      <c r="A21" s="79"/>
      <c r="B21" s="79"/>
      <c r="C21" s="80"/>
      <c r="D21" s="80"/>
      <c r="E21" s="80"/>
      <c r="F21" s="80"/>
      <c r="G21" s="81"/>
      <c r="H21" s="106"/>
      <c r="I21" s="107"/>
      <c r="J21" s="108"/>
      <c r="K21" s="81"/>
      <c r="L21" s="84"/>
      <c r="M21" s="85"/>
      <c r="N21" s="110"/>
      <c r="O21" s="87"/>
      <c r="P21" s="88"/>
      <c r="Q21" s="89">
        <f t="shared" si="0"/>
        <v>0</v>
      </c>
      <c r="R21" s="89">
        <f t="shared" si="1"/>
        <v>0</v>
      </c>
      <c r="S21" s="89">
        <f t="shared" si="2"/>
        <v>0</v>
      </c>
      <c r="T21" s="90"/>
      <c r="U21" s="91"/>
      <c r="V21" s="91"/>
      <c r="W21" s="92"/>
      <c r="X21" s="93"/>
      <c r="Y21" s="94"/>
      <c r="Z21" s="81"/>
      <c r="AA21" s="104"/>
      <c r="AB21" s="96"/>
      <c r="AC21" s="97"/>
      <c r="AD21" s="98"/>
      <c r="AE21" s="99"/>
      <c r="AF21" s="100"/>
      <c r="AG21" s="101"/>
    </row>
    <row r="22" s="41" customFormat="1" customHeight="1" spans="1:33">
      <c r="A22" s="79"/>
      <c r="B22" s="79"/>
      <c r="C22" s="80"/>
      <c r="D22" s="80"/>
      <c r="E22" s="80"/>
      <c r="F22" s="80"/>
      <c r="G22" s="81"/>
      <c r="H22" s="106"/>
      <c r="I22" s="107"/>
      <c r="J22" s="108"/>
      <c r="K22" s="81"/>
      <c r="L22" s="84"/>
      <c r="M22" s="85"/>
      <c r="N22" s="110"/>
      <c r="O22" s="87"/>
      <c r="P22" s="88"/>
      <c r="Q22" s="89">
        <f t="shared" si="0"/>
        <v>0</v>
      </c>
      <c r="R22" s="89">
        <f t="shared" si="1"/>
        <v>0</v>
      </c>
      <c r="S22" s="89">
        <f t="shared" si="2"/>
        <v>0</v>
      </c>
      <c r="T22" s="90"/>
      <c r="U22" s="91"/>
      <c r="V22" s="91"/>
      <c r="W22" s="92"/>
      <c r="X22" s="93"/>
      <c r="Y22" s="94"/>
      <c r="Z22" s="81"/>
      <c r="AA22" s="104"/>
      <c r="AB22" s="96"/>
      <c r="AC22" s="97"/>
      <c r="AD22" s="98"/>
      <c r="AE22" s="99"/>
      <c r="AF22" s="100"/>
      <c r="AG22" s="101"/>
    </row>
    <row r="23" s="41" customFormat="1" customHeight="1" spans="1:33">
      <c r="A23" s="79"/>
      <c r="B23" s="79"/>
      <c r="C23" s="80"/>
      <c r="D23" s="80"/>
      <c r="E23" s="80"/>
      <c r="F23" s="80"/>
      <c r="G23" s="81"/>
      <c r="H23" s="106"/>
      <c r="I23" s="107"/>
      <c r="J23" s="108"/>
      <c r="K23" s="81"/>
      <c r="L23" s="84"/>
      <c r="M23" s="85"/>
      <c r="N23" s="110"/>
      <c r="O23" s="87"/>
      <c r="P23" s="88"/>
      <c r="Q23" s="89">
        <f t="shared" si="0"/>
        <v>0</v>
      </c>
      <c r="R23" s="89">
        <f t="shared" si="1"/>
        <v>0</v>
      </c>
      <c r="S23" s="89">
        <f t="shared" si="2"/>
        <v>0</v>
      </c>
      <c r="T23" s="90"/>
      <c r="U23" s="91"/>
      <c r="V23" s="91"/>
      <c r="W23" s="92"/>
      <c r="X23" s="93"/>
      <c r="Y23" s="94"/>
      <c r="Z23" s="81"/>
      <c r="AA23" s="104"/>
      <c r="AB23" s="96"/>
      <c r="AC23" s="97"/>
      <c r="AD23" s="98"/>
      <c r="AE23" s="99"/>
      <c r="AF23" s="100"/>
      <c r="AG23" s="101"/>
    </row>
    <row r="24" s="41" customFormat="1" customHeight="1" spans="1:33">
      <c r="A24" s="79"/>
      <c r="B24" s="79"/>
      <c r="C24" s="80"/>
      <c r="D24" s="80"/>
      <c r="E24" s="80"/>
      <c r="F24" s="80"/>
      <c r="G24" s="81"/>
      <c r="H24" s="106"/>
      <c r="I24" s="107"/>
      <c r="J24" s="108"/>
      <c r="K24" s="81"/>
      <c r="L24" s="84"/>
      <c r="M24" s="85"/>
      <c r="N24" s="110"/>
      <c r="O24" s="87"/>
      <c r="P24" s="88"/>
      <c r="Q24" s="89">
        <f t="shared" si="0"/>
        <v>0</v>
      </c>
      <c r="R24" s="89">
        <f t="shared" si="1"/>
        <v>0</v>
      </c>
      <c r="S24" s="89">
        <f t="shared" si="2"/>
        <v>0</v>
      </c>
      <c r="T24" s="90"/>
      <c r="U24" s="91"/>
      <c r="V24" s="91"/>
      <c r="W24" s="92"/>
      <c r="X24" s="93"/>
      <c r="Y24" s="94"/>
      <c r="Z24" s="81"/>
      <c r="AA24" s="104"/>
      <c r="AB24" s="96"/>
      <c r="AC24" s="97"/>
      <c r="AD24" s="98"/>
      <c r="AE24" s="99"/>
      <c r="AF24" s="100"/>
      <c r="AG24" s="101"/>
    </row>
    <row r="25" s="41" customFormat="1" customHeight="1" spans="1:33">
      <c r="A25" s="79"/>
      <c r="B25" s="79"/>
      <c r="C25" s="80"/>
      <c r="D25" s="80"/>
      <c r="E25" s="80"/>
      <c r="F25" s="80"/>
      <c r="G25" s="81"/>
      <c r="H25" s="106"/>
      <c r="I25" s="107"/>
      <c r="J25" s="108"/>
      <c r="K25" s="81"/>
      <c r="L25" s="84"/>
      <c r="M25" s="85"/>
      <c r="N25" s="110"/>
      <c r="O25" s="87"/>
      <c r="P25" s="88"/>
      <c r="Q25" s="89">
        <f t="shared" si="0"/>
        <v>0</v>
      </c>
      <c r="R25" s="89">
        <f t="shared" si="1"/>
        <v>0</v>
      </c>
      <c r="S25" s="89">
        <f t="shared" si="2"/>
        <v>0</v>
      </c>
      <c r="T25" s="90"/>
      <c r="U25" s="91"/>
      <c r="V25" s="91"/>
      <c r="W25" s="92"/>
      <c r="X25" s="93"/>
      <c r="Y25" s="94"/>
      <c r="Z25" s="81"/>
      <c r="AA25" s="104"/>
      <c r="AB25" s="96"/>
      <c r="AC25" s="97"/>
      <c r="AD25" s="98"/>
      <c r="AE25" s="99"/>
      <c r="AF25" s="100"/>
      <c r="AG25" s="101"/>
    </row>
    <row r="26" s="41" customFormat="1" customHeight="1" spans="1:33">
      <c r="A26" s="79"/>
      <c r="B26" s="79"/>
      <c r="C26" s="80"/>
      <c r="D26" s="80"/>
      <c r="E26" s="80"/>
      <c r="F26" s="80"/>
      <c r="G26" s="81"/>
      <c r="H26" s="106"/>
      <c r="I26" s="107"/>
      <c r="J26" s="108"/>
      <c r="K26" s="81"/>
      <c r="L26" s="84"/>
      <c r="M26" s="85"/>
      <c r="N26" s="110"/>
      <c r="O26" s="87"/>
      <c r="P26" s="88"/>
      <c r="Q26" s="89">
        <f t="shared" si="0"/>
        <v>0</v>
      </c>
      <c r="R26" s="89">
        <f t="shared" si="1"/>
        <v>0</v>
      </c>
      <c r="S26" s="89">
        <f t="shared" si="2"/>
        <v>0</v>
      </c>
      <c r="T26" s="90"/>
      <c r="U26" s="91"/>
      <c r="V26" s="91"/>
      <c r="W26" s="92"/>
      <c r="X26" s="93"/>
      <c r="Y26" s="94"/>
      <c r="Z26" s="81"/>
      <c r="AA26" s="104"/>
      <c r="AB26" s="96"/>
      <c r="AC26" s="97"/>
      <c r="AD26" s="98"/>
      <c r="AE26" s="99"/>
      <c r="AF26" s="100"/>
      <c r="AG26" s="101"/>
    </row>
    <row r="27" s="41" customFormat="1" customHeight="1" spans="1:33">
      <c r="A27" s="79"/>
      <c r="B27" s="79"/>
      <c r="C27" s="80"/>
      <c r="D27" s="80"/>
      <c r="E27" s="80"/>
      <c r="F27" s="80"/>
      <c r="G27" s="81"/>
      <c r="H27" s="106"/>
      <c r="I27" s="107"/>
      <c r="J27" s="108"/>
      <c r="K27" s="81"/>
      <c r="L27" s="84"/>
      <c r="M27" s="85"/>
      <c r="N27" s="110"/>
      <c r="O27" s="87"/>
      <c r="P27" s="88"/>
      <c r="Q27" s="89">
        <f t="shared" si="0"/>
        <v>0</v>
      </c>
      <c r="R27" s="89">
        <f t="shared" si="1"/>
        <v>0</v>
      </c>
      <c r="S27" s="89">
        <f t="shared" si="2"/>
        <v>0</v>
      </c>
      <c r="T27" s="90"/>
      <c r="U27" s="91"/>
      <c r="V27" s="91"/>
      <c r="W27" s="92"/>
      <c r="X27" s="93"/>
      <c r="Y27" s="94"/>
      <c r="Z27" s="81"/>
      <c r="AA27" s="104"/>
      <c r="AB27" s="96"/>
      <c r="AC27" s="97"/>
      <c r="AD27" s="98"/>
      <c r="AE27" s="99"/>
      <c r="AF27" s="100"/>
      <c r="AG27" s="101"/>
    </row>
    <row r="28" s="41" customFormat="1" customHeight="1" spans="1:33">
      <c r="A28" s="79"/>
      <c r="B28" s="79"/>
      <c r="C28" s="80"/>
      <c r="D28" s="80"/>
      <c r="E28" s="80"/>
      <c r="F28" s="80"/>
      <c r="G28" s="81"/>
      <c r="H28" s="106"/>
      <c r="I28" s="107"/>
      <c r="J28" s="108"/>
      <c r="K28" s="81"/>
      <c r="L28" s="84"/>
      <c r="M28" s="85"/>
      <c r="N28" s="110"/>
      <c r="O28" s="87"/>
      <c r="P28" s="88"/>
      <c r="Q28" s="89">
        <f t="shared" si="0"/>
        <v>0</v>
      </c>
      <c r="R28" s="89">
        <f t="shared" si="1"/>
        <v>0</v>
      </c>
      <c r="S28" s="89">
        <f t="shared" si="2"/>
        <v>0</v>
      </c>
      <c r="T28" s="90"/>
      <c r="U28" s="91"/>
      <c r="V28" s="91"/>
      <c r="W28" s="92"/>
      <c r="X28" s="93"/>
      <c r="Y28" s="94"/>
      <c r="Z28" s="81"/>
      <c r="AA28" s="104"/>
      <c r="AB28" s="96"/>
      <c r="AC28" s="97"/>
      <c r="AD28" s="98"/>
      <c r="AE28" s="99"/>
      <c r="AF28" s="100"/>
      <c r="AG28" s="101"/>
    </row>
    <row r="29" s="41" customFormat="1" customHeight="1" spans="1:33">
      <c r="A29" s="79"/>
      <c r="B29" s="79"/>
      <c r="C29" s="80"/>
      <c r="D29" s="80"/>
      <c r="E29" s="80"/>
      <c r="F29" s="80"/>
      <c r="G29" s="81"/>
      <c r="H29" s="106"/>
      <c r="I29" s="107"/>
      <c r="J29" s="108"/>
      <c r="K29" s="81"/>
      <c r="L29" s="84"/>
      <c r="M29" s="85"/>
      <c r="N29" s="110"/>
      <c r="O29" s="87"/>
      <c r="P29" s="88"/>
      <c r="Q29" s="89">
        <f t="shared" si="0"/>
        <v>0</v>
      </c>
      <c r="R29" s="89">
        <f t="shared" si="1"/>
        <v>0</v>
      </c>
      <c r="S29" s="89">
        <f t="shared" si="2"/>
        <v>0</v>
      </c>
      <c r="T29" s="90"/>
      <c r="U29" s="91"/>
      <c r="V29" s="91"/>
      <c r="W29" s="92"/>
      <c r="X29" s="93"/>
      <c r="Y29" s="94"/>
      <c r="Z29" s="81"/>
      <c r="AA29" s="104"/>
      <c r="AB29" s="96"/>
      <c r="AC29" s="97"/>
      <c r="AD29" s="98"/>
      <c r="AE29" s="99"/>
      <c r="AF29" s="100"/>
      <c r="AG29" s="101"/>
    </row>
    <row r="30" s="41" customFormat="1" customHeight="1" spans="1:33">
      <c r="A30" s="79"/>
      <c r="B30" s="79"/>
      <c r="C30" s="80"/>
      <c r="D30" s="80"/>
      <c r="E30" s="80"/>
      <c r="F30" s="80"/>
      <c r="G30" s="81"/>
      <c r="H30" s="106"/>
      <c r="I30" s="107"/>
      <c r="J30" s="108"/>
      <c r="K30" s="81"/>
      <c r="L30" s="84"/>
      <c r="M30" s="85"/>
      <c r="N30" s="110"/>
      <c r="O30" s="87"/>
      <c r="P30" s="88"/>
      <c r="Q30" s="89">
        <f t="shared" si="0"/>
        <v>0</v>
      </c>
      <c r="R30" s="89">
        <f t="shared" si="1"/>
        <v>0</v>
      </c>
      <c r="S30" s="89">
        <f t="shared" si="2"/>
        <v>0</v>
      </c>
      <c r="T30" s="90"/>
      <c r="U30" s="91"/>
      <c r="V30" s="91"/>
      <c r="W30" s="92"/>
      <c r="X30" s="93"/>
      <c r="Y30" s="94"/>
      <c r="Z30" s="81"/>
      <c r="AA30" s="104"/>
      <c r="AB30" s="96"/>
      <c r="AC30" s="97"/>
      <c r="AD30" s="98"/>
      <c r="AE30" s="99"/>
      <c r="AF30" s="100"/>
      <c r="AG30" s="101"/>
    </row>
    <row r="31" s="41" customFormat="1" customHeight="1" spans="1:33">
      <c r="A31" s="79"/>
      <c r="B31" s="79"/>
      <c r="C31" s="80"/>
      <c r="D31" s="80"/>
      <c r="E31" s="80"/>
      <c r="F31" s="80"/>
      <c r="G31" s="81"/>
      <c r="H31" s="106"/>
      <c r="I31" s="107"/>
      <c r="J31" s="108"/>
      <c r="K31" s="81"/>
      <c r="L31" s="84"/>
      <c r="M31" s="85"/>
      <c r="N31" s="110"/>
      <c r="O31" s="87"/>
      <c r="P31" s="88"/>
      <c r="Q31" s="89">
        <f t="shared" si="0"/>
        <v>0</v>
      </c>
      <c r="R31" s="89">
        <f t="shared" si="1"/>
        <v>0</v>
      </c>
      <c r="S31" s="89">
        <f t="shared" si="2"/>
        <v>0</v>
      </c>
      <c r="T31" s="90"/>
      <c r="U31" s="91"/>
      <c r="V31" s="91"/>
      <c r="W31" s="92"/>
      <c r="X31" s="93"/>
      <c r="Y31" s="94"/>
      <c r="Z31" s="81"/>
      <c r="AA31" s="104"/>
      <c r="AB31" s="96"/>
      <c r="AC31" s="97"/>
      <c r="AD31" s="98"/>
      <c r="AE31" s="99"/>
      <c r="AF31" s="100"/>
      <c r="AG31" s="101"/>
    </row>
    <row r="32" s="41" customFormat="1" customHeight="1" spans="1:33">
      <c r="A32" s="79"/>
      <c r="B32" s="79"/>
      <c r="C32" s="80"/>
      <c r="D32" s="80"/>
      <c r="E32" s="80"/>
      <c r="F32" s="80"/>
      <c r="G32" s="81"/>
      <c r="H32" s="106"/>
      <c r="I32" s="107"/>
      <c r="J32" s="108"/>
      <c r="K32" s="81"/>
      <c r="L32" s="84"/>
      <c r="M32" s="85"/>
      <c r="N32" s="110"/>
      <c r="O32" s="87"/>
      <c r="P32" s="88"/>
      <c r="Q32" s="89">
        <f t="shared" si="0"/>
        <v>0</v>
      </c>
      <c r="R32" s="89">
        <f t="shared" si="1"/>
        <v>0</v>
      </c>
      <c r="S32" s="89">
        <f t="shared" si="2"/>
        <v>0</v>
      </c>
      <c r="T32" s="90"/>
      <c r="U32" s="91"/>
      <c r="V32" s="91"/>
      <c r="W32" s="92"/>
      <c r="X32" s="93"/>
      <c r="Y32" s="94"/>
      <c r="Z32" s="81"/>
      <c r="AA32" s="104"/>
      <c r="AB32" s="96"/>
      <c r="AC32" s="97"/>
      <c r="AD32" s="98"/>
      <c r="AE32" s="99"/>
      <c r="AF32" s="100"/>
      <c r="AG32" s="101"/>
    </row>
    <row r="33" s="41" customFormat="1" customHeight="1" spans="1:33">
      <c r="A33" s="79"/>
      <c r="B33" s="79"/>
      <c r="C33" s="80"/>
      <c r="D33" s="80"/>
      <c r="E33" s="80"/>
      <c r="F33" s="80"/>
      <c r="G33" s="81"/>
      <c r="H33" s="106"/>
      <c r="I33" s="107"/>
      <c r="J33" s="108"/>
      <c r="K33" s="81"/>
      <c r="L33" s="84"/>
      <c r="M33" s="85"/>
      <c r="N33" s="110"/>
      <c r="O33" s="87"/>
      <c r="P33" s="88"/>
      <c r="Q33" s="89">
        <f t="shared" si="0"/>
        <v>0</v>
      </c>
      <c r="R33" s="89">
        <f t="shared" si="1"/>
        <v>0</v>
      </c>
      <c r="S33" s="89">
        <f t="shared" si="2"/>
        <v>0</v>
      </c>
      <c r="T33" s="90"/>
      <c r="U33" s="91"/>
      <c r="V33" s="91"/>
      <c r="W33" s="92"/>
      <c r="X33" s="93"/>
      <c r="Y33" s="94"/>
      <c r="Z33" s="81"/>
      <c r="AA33" s="104"/>
      <c r="AB33" s="96"/>
      <c r="AC33" s="97"/>
      <c r="AD33" s="98"/>
      <c r="AE33" s="99"/>
      <c r="AF33" s="100"/>
      <c r="AG33" s="101"/>
    </row>
    <row r="34" s="41" customFormat="1" customHeight="1" spans="1:33">
      <c r="A34" s="79"/>
      <c r="B34" s="79"/>
      <c r="C34" s="80"/>
      <c r="D34" s="80"/>
      <c r="E34" s="80"/>
      <c r="F34" s="80"/>
      <c r="G34" s="81"/>
      <c r="H34" s="106"/>
      <c r="I34" s="107"/>
      <c r="J34" s="108"/>
      <c r="K34" s="81"/>
      <c r="L34" s="84"/>
      <c r="M34" s="85"/>
      <c r="N34" s="110"/>
      <c r="O34" s="87"/>
      <c r="P34" s="88"/>
      <c r="Q34" s="89">
        <f t="shared" si="0"/>
        <v>0</v>
      </c>
      <c r="R34" s="89">
        <f t="shared" si="1"/>
        <v>0</v>
      </c>
      <c r="S34" s="89">
        <f t="shared" si="2"/>
        <v>0</v>
      </c>
      <c r="T34" s="90"/>
      <c r="U34" s="91"/>
      <c r="V34" s="91"/>
      <c r="W34" s="92"/>
      <c r="X34" s="93"/>
      <c r="Y34" s="94"/>
      <c r="Z34" s="81"/>
      <c r="AA34" s="104"/>
      <c r="AB34" s="96"/>
      <c r="AC34" s="97"/>
      <c r="AD34" s="98"/>
      <c r="AE34" s="99"/>
      <c r="AF34" s="100"/>
      <c r="AG34" s="101"/>
    </row>
    <row r="35" s="41" customFormat="1" customHeight="1" spans="1:33">
      <c r="A35" s="79"/>
      <c r="B35" s="79"/>
      <c r="C35" s="80"/>
      <c r="D35" s="80"/>
      <c r="E35" s="80"/>
      <c r="F35" s="80"/>
      <c r="G35" s="81"/>
      <c r="H35" s="106"/>
      <c r="I35" s="107"/>
      <c r="J35" s="108"/>
      <c r="K35" s="81"/>
      <c r="L35" s="84"/>
      <c r="M35" s="85"/>
      <c r="N35" s="110"/>
      <c r="O35" s="87"/>
      <c r="P35" s="88"/>
      <c r="Q35" s="89">
        <f t="shared" ref="Q35:Q66" si="3">O35*N35+P35</f>
        <v>0</v>
      </c>
      <c r="R35" s="89">
        <f t="shared" ref="R35:R66" si="4">Q35*0.2</f>
        <v>0</v>
      </c>
      <c r="S35" s="89">
        <f t="shared" ref="S35:S66" si="5">R35+Q35</f>
        <v>0</v>
      </c>
      <c r="T35" s="90"/>
      <c r="U35" s="91"/>
      <c r="V35" s="91"/>
      <c r="W35" s="92"/>
      <c r="X35" s="93"/>
      <c r="Y35" s="94"/>
      <c r="Z35" s="81"/>
      <c r="AA35" s="104"/>
      <c r="AB35" s="96"/>
      <c r="AC35" s="97"/>
      <c r="AD35" s="98"/>
      <c r="AE35" s="99"/>
      <c r="AF35" s="100"/>
      <c r="AG35" s="101"/>
    </row>
    <row r="36" s="41" customFormat="1" customHeight="1" spans="1:33">
      <c r="A36" s="79"/>
      <c r="B36" s="79"/>
      <c r="C36" s="80"/>
      <c r="D36" s="80"/>
      <c r="E36" s="80"/>
      <c r="F36" s="80"/>
      <c r="G36" s="81"/>
      <c r="H36" s="106"/>
      <c r="I36" s="107"/>
      <c r="J36" s="108"/>
      <c r="K36" s="81"/>
      <c r="L36" s="84"/>
      <c r="M36" s="85"/>
      <c r="N36" s="110"/>
      <c r="O36" s="87"/>
      <c r="P36" s="88"/>
      <c r="Q36" s="89">
        <f t="shared" si="3"/>
        <v>0</v>
      </c>
      <c r="R36" s="89">
        <f t="shared" si="4"/>
        <v>0</v>
      </c>
      <c r="S36" s="89">
        <f t="shared" si="5"/>
        <v>0</v>
      </c>
      <c r="T36" s="90"/>
      <c r="U36" s="91"/>
      <c r="V36" s="91"/>
      <c r="W36" s="92"/>
      <c r="X36" s="93"/>
      <c r="Y36" s="94"/>
      <c r="Z36" s="81"/>
      <c r="AA36" s="104"/>
      <c r="AB36" s="96"/>
      <c r="AC36" s="97"/>
      <c r="AD36" s="98"/>
      <c r="AE36" s="99"/>
      <c r="AF36" s="100"/>
      <c r="AG36" s="101"/>
    </row>
    <row r="37" s="41" customFormat="1" customHeight="1" spans="1:33">
      <c r="A37" s="79"/>
      <c r="B37" s="79"/>
      <c r="C37" s="80"/>
      <c r="D37" s="80"/>
      <c r="E37" s="80"/>
      <c r="F37" s="80"/>
      <c r="G37" s="81"/>
      <c r="H37" s="106"/>
      <c r="I37" s="107"/>
      <c r="J37" s="108"/>
      <c r="K37" s="81"/>
      <c r="L37" s="84"/>
      <c r="M37" s="85"/>
      <c r="N37" s="110"/>
      <c r="O37" s="87"/>
      <c r="P37" s="88"/>
      <c r="Q37" s="89">
        <f t="shared" si="3"/>
        <v>0</v>
      </c>
      <c r="R37" s="89">
        <f t="shared" si="4"/>
        <v>0</v>
      </c>
      <c r="S37" s="89">
        <f t="shared" si="5"/>
        <v>0</v>
      </c>
      <c r="T37" s="90"/>
      <c r="U37" s="91"/>
      <c r="V37" s="91"/>
      <c r="W37" s="92"/>
      <c r="X37" s="93"/>
      <c r="Y37" s="94"/>
      <c r="Z37" s="81"/>
      <c r="AA37" s="104"/>
      <c r="AB37" s="96"/>
      <c r="AC37" s="97"/>
      <c r="AD37" s="98"/>
      <c r="AE37" s="99"/>
      <c r="AF37" s="100"/>
      <c r="AG37" s="101"/>
    </row>
    <row r="38" s="41" customFormat="1" customHeight="1" spans="1:33">
      <c r="A38" s="79"/>
      <c r="B38" s="79"/>
      <c r="C38" s="80"/>
      <c r="D38" s="80"/>
      <c r="E38" s="80"/>
      <c r="F38" s="80"/>
      <c r="G38" s="81"/>
      <c r="H38" s="106"/>
      <c r="I38" s="107"/>
      <c r="J38" s="108"/>
      <c r="K38" s="81"/>
      <c r="L38" s="84"/>
      <c r="M38" s="85"/>
      <c r="N38" s="110"/>
      <c r="O38" s="87"/>
      <c r="P38" s="88"/>
      <c r="Q38" s="89">
        <f t="shared" si="3"/>
        <v>0</v>
      </c>
      <c r="R38" s="89">
        <f t="shared" si="4"/>
        <v>0</v>
      </c>
      <c r="S38" s="89">
        <f t="shared" si="5"/>
        <v>0</v>
      </c>
      <c r="T38" s="90"/>
      <c r="U38" s="91"/>
      <c r="V38" s="91"/>
      <c r="W38" s="92"/>
      <c r="X38" s="93"/>
      <c r="Y38" s="94"/>
      <c r="Z38" s="81"/>
      <c r="AA38" s="104"/>
      <c r="AB38" s="96"/>
      <c r="AC38" s="97"/>
      <c r="AD38" s="98"/>
      <c r="AE38" s="99"/>
      <c r="AF38" s="100"/>
      <c r="AG38" s="101"/>
    </row>
    <row r="39" s="41" customFormat="1" customHeight="1" spans="1:33">
      <c r="A39" s="79"/>
      <c r="B39" s="79"/>
      <c r="C39" s="80"/>
      <c r="D39" s="80"/>
      <c r="E39" s="80"/>
      <c r="F39" s="80"/>
      <c r="G39" s="81"/>
      <c r="H39" s="106"/>
      <c r="I39" s="107"/>
      <c r="J39" s="108"/>
      <c r="K39" s="81"/>
      <c r="L39" s="84"/>
      <c r="M39" s="85"/>
      <c r="N39" s="110"/>
      <c r="O39" s="87"/>
      <c r="P39" s="88"/>
      <c r="Q39" s="89">
        <f t="shared" si="3"/>
        <v>0</v>
      </c>
      <c r="R39" s="89">
        <f t="shared" si="4"/>
        <v>0</v>
      </c>
      <c r="S39" s="89">
        <f t="shared" si="5"/>
        <v>0</v>
      </c>
      <c r="T39" s="90"/>
      <c r="U39" s="91"/>
      <c r="V39" s="91"/>
      <c r="W39" s="92"/>
      <c r="X39" s="93"/>
      <c r="Y39" s="94"/>
      <c r="Z39" s="81"/>
      <c r="AA39" s="104"/>
      <c r="AB39" s="96"/>
      <c r="AC39" s="97"/>
      <c r="AD39" s="98"/>
      <c r="AE39" s="99"/>
      <c r="AF39" s="100"/>
      <c r="AG39" s="101"/>
    </row>
    <row r="40" s="41" customFormat="1" customHeight="1" spans="1:33">
      <c r="A40" s="79"/>
      <c r="B40" s="79"/>
      <c r="C40" s="80"/>
      <c r="D40" s="80"/>
      <c r="E40" s="80"/>
      <c r="F40" s="80"/>
      <c r="G40" s="81"/>
      <c r="H40" s="106"/>
      <c r="I40" s="107"/>
      <c r="J40" s="108"/>
      <c r="K40" s="81"/>
      <c r="L40" s="84"/>
      <c r="M40" s="85"/>
      <c r="N40" s="110"/>
      <c r="O40" s="87"/>
      <c r="P40" s="88"/>
      <c r="Q40" s="89">
        <f t="shared" si="3"/>
        <v>0</v>
      </c>
      <c r="R40" s="89">
        <f t="shared" si="4"/>
        <v>0</v>
      </c>
      <c r="S40" s="89">
        <f t="shared" si="5"/>
        <v>0</v>
      </c>
      <c r="T40" s="90"/>
      <c r="U40" s="91"/>
      <c r="V40" s="91"/>
      <c r="W40" s="92"/>
      <c r="X40" s="93"/>
      <c r="Y40" s="94"/>
      <c r="Z40" s="81"/>
      <c r="AA40" s="104"/>
      <c r="AB40" s="96"/>
      <c r="AC40" s="97"/>
      <c r="AD40" s="98"/>
      <c r="AE40" s="99"/>
      <c r="AF40" s="100"/>
      <c r="AG40" s="101"/>
    </row>
    <row r="41" s="41" customFormat="1" customHeight="1" spans="1:33">
      <c r="A41" s="79"/>
      <c r="B41" s="79"/>
      <c r="C41" s="80"/>
      <c r="D41" s="80"/>
      <c r="E41" s="80"/>
      <c r="F41" s="80"/>
      <c r="G41" s="81"/>
      <c r="H41" s="106"/>
      <c r="I41" s="107"/>
      <c r="J41" s="108"/>
      <c r="K41" s="81"/>
      <c r="L41" s="84"/>
      <c r="M41" s="85"/>
      <c r="N41" s="110"/>
      <c r="O41" s="87"/>
      <c r="P41" s="88"/>
      <c r="Q41" s="89">
        <f t="shared" si="3"/>
        <v>0</v>
      </c>
      <c r="R41" s="89">
        <f t="shared" si="4"/>
        <v>0</v>
      </c>
      <c r="S41" s="89">
        <f t="shared" si="5"/>
        <v>0</v>
      </c>
      <c r="T41" s="90"/>
      <c r="U41" s="91"/>
      <c r="V41" s="91"/>
      <c r="W41" s="92"/>
      <c r="X41" s="93"/>
      <c r="Y41" s="94"/>
      <c r="Z41" s="81"/>
      <c r="AA41" s="104"/>
      <c r="AB41" s="96"/>
      <c r="AC41" s="97"/>
      <c r="AD41" s="98"/>
      <c r="AE41" s="99"/>
      <c r="AF41" s="100"/>
      <c r="AG41" s="101"/>
    </row>
    <row r="42" s="41" customFormat="1" customHeight="1" spans="1:33">
      <c r="A42" s="79"/>
      <c r="B42" s="79"/>
      <c r="C42" s="80"/>
      <c r="D42" s="80"/>
      <c r="E42" s="80"/>
      <c r="F42" s="80"/>
      <c r="G42" s="81"/>
      <c r="H42" s="106"/>
      <c r="I42" s="107"/>
      <c r="J42" s="108"/>
      <c r="K42" s="81"/>
      <c r="L42" s="84"/>
      <c r="M42" s="85"/>
      <c r="N42" s="110"/>
      <c r="O42" s="87"/>
      <c r="P42" s="88"/>
      <c r="Q42" s="89">
        <f t="shared" si="3"/>
        <v>0</v>
      </c>
      <c r="R42" s="89">
        <f t="shared" si="4"/>
        <v>0</v>
      </c>
      <c r="S42" s="89">
        <f t="shared" si="5"/>
        <v>0</v>
      </c>
      <c r="T42" s="90"/>
      <c r="U42" s="91"/>
      <c r="V42" s="91"/>
      <c r="W42" s="92"/>
      <c r="X42" s="93"/>
      <c r="Y42" s="94"/>
      <c r="Z42" s="81"/>
      <c r="AA42" s="104"/>
      <c r="AB42" s="96"/>
      <c r="AC42" s="97"/>
      <c r="AD42" s="98"/>
      <c r="AE42" s="99"/>
      <c r="AF42" s="100"/>
      <c r="AG42" s="101"/>
    </row>
    <row r="43" s="41" customFormat="1" customHeight="1" spans="1:33">
      <c r="A43" s="79"/>
      <c r="B43" s="79"/>
      <c r="C43" s="80"/>
      <c r="D43" s="80"/>
      <c r="E43" s="80"/>
      <c r="F43" s="80"/>
      <c r="G43" s="81"/>
      <c r="H43" s="106"/>
      <c r="I43" s="107"/>
      <c r="J43" s="108"/>
      <c r="K43" s="81"/>
      <c r="L43" s="84"/>
      <c r="M43" s="85"/>
      <c r="N43" s="110"/>
      <c r="O43" s="87"/>
      <c r="P43" s="88"/>
      <c r="Q43" s="89">
        <f t="shared" si="3"/>
        <v>0</v>
      </c>
      <c r="R43" s="89">
        <f t="shared" si="4"/>
        <v>0</v>
      </c>
      <c r="S43" s="89">
        <f t="shared" si="5"/>
        <v>0</v>
      </c>
      <c r="T43" s="90"/>
      <c r="U43" s="91"/>
      <c r="V43" s="91"/>
      <c r="W43" s="92"/>
      <c r="X43" s="93"/>
      <c r="Y43" s="94"/>
      <c r="Z43" s="81"/>
      <c r="AA43" s="104"/>
      <c r="AB43" s="96"/>
      <c r="AC43" s="97"/>
      <c r="AD43" s="98"/>
      <c r="AE43" s="99"/>
      <c r="AF43" s="100"/>
      <c r="AG43" s="101"/>
    </row>
    <row r="44" s="41" customFormat="1" customHeight="1" spans="1:33">
      <c r="A44" s="79"/>
      <c r="B44" s="79"/>
      <c r="C44" s="80"/>
      <c r="D44" s="80"/>
      <c r="E44" s="80"/>
      <c r="F44" s="80"/>
      <c r="G44" s="81"/>
      <c r="H44" s="106"/>
      <c r="I44" s="107"/>
      <c r="J44" s="108"/>
      <c r="K44" s="81"/>
      <c r="L44" s="84"/>
      <c r="M44" s="85"/>
      <c r="N44" s="110"/>
      <c r="O44" s="87"/>
      <c r="P44" s="88"/>
      <c r="Q44" s="89">
        <f t="shared" si="3"/>
        <v>0</v>
      </c>
      <c r="R44" s="89">
        <f t="shared" si="4"/>
        <v>0</v>
      </c>
      <c r="S44" s="89">
        <f t="shared" si="5"/>
        <v>0</v>
      </c>
      <c r="T44" s="90"/>
      <c r="U44" s="91"/>
      <c r="V44" s="91"/>
      <c r="W44" s="92"/>
      <c r="X44" s="93"/>
      <c r="Y44" s="94"/>
      <c r="Z44" s="81"/>
      <c r="AA44" s="104"/>
      <c r="AB44" s="96"/>
      <c r="AC44" s="97"/>
      <c r="AD44" s="98"/>
      <c r="AE44" s="99"/>
      <c r="AF44" s="100"/>
      <c r="AG44" s="101"/>
    </row>
    <row r="45" s="41" customFormat="1" customHeight="1" spans="1:33">
      <c r="A45" s="79"/>
      <c r="B45" s="79"/>
      <c r="C45" s="80"/>
      <c r="D45" s="80"/>
      <c r="E45" s="80"/>
      <c r="F45" s="80"/>
      <c r="G45" s="81"/>
      <c r="H45" s="106"/>
      <c r="I45" s="107"/>
      <c r="J45" s="108"/>
      <c r="K45" s="81"/>
      <c r="L45" s="84"/>
      <c r="M45" s="85"/>
      <c r="N45" s="110"/>
      <c r="O45" s="87"/>
      <c r="P45" s="88"/>
      <c r="Q45" s="89">
        <f t="shared" si="3"/>
        <v>0</v>
      </c>
      <c r="R45" s="89">
        <f t="shared" si="4"/>
        <v>0</v>
      </c>
      <c r="S45" s="89">
        <f t="shared" si="5"/>
        <v>0</v>
      </c>
      <c r="T45" s="90"/>
      <c r="U45" s="91"/>
      <c r="V45" s="91"/>
      <c r="W45" s="92"/>
      <c r="X45" s="93"/>
      <c r="Y45" s="94"/>
      <c r="Z45" s="81"/>
      <c r="AA45" s="104"/>
      <c r="AB45" s="96"/>
      <c r="AC45" s="97"/>
      <c r="AD45" s="98"/>
      <c r="AE45" s="99"/>
      <c r="AF45" s="100"/>
      <c r="AG45" s="101"/>
    </row>
    <row r="46" s="41" customFormat="1" customHeight="1" spans="1:33">
      <c r="A46" s="79"/>
      <c r="B46" s="79"/>
      <c r="C46" s="80"/>
      <c r="D46" s="80"/>
      <c r="E46" s="80"/>
      <c r="F46" s="80"/>
      <c r="G46" s="81"/>
      <c r="H46" s="106"/>
      <c r="I46" s="107"/>
      <c r="J46" s="108"/>
      <c r="K46" s="81"/>
      <c r="L46" s="84"/>
      <c r="M46" s="85"/>
      <c r="N46" s="110"/>
      <c r="O46" s="87"/>
      <c r="P46" s="88"/>
      <c r="Q46" s="89">
        <f t="shared" si="3"/>
        <v>0</v>
      </c>
      <c r="R46" s="89">
        <f t="shared" si="4"/>
        <v>0</v>
      </c>
      <c r="S46" s="89">
        <f t="shared" si="5"/>
        <v>0</v>
      </c>
      <c r="T46" s="90"/>
      <c r="U46" s="91"/>
      <c r="V46" s="91"/>
      <c r="W46" s="92"/>
      <c r="X46" s="93"/>
      <c r="Y46" s="94"/>
      <c r="Z46" s="81"/>
      <c r="AA46" s="104"/>
      <c r="AB46" s="96"/>
      <c r="AC46" s="97"/>
      <c r="AD46" s="98"/>
      <c r="AE46" s="99"/>
      <c r="AF46" s="100"/>
      <c r="AG46" s="101"/>
    </row>
    <row r="47" s="41" customFormat="1" customHeight="1" spans="1:33">
      <c r="A47" s="79"/>
      <c r="B47" s="79"/>
      <c r="C47" s="80"/>
      <c r="D47" s="80"/>
      <c r="E47" s="80"/>
      <c r="F47" s="80"/>
      <c r="G47" s="81"/>
      <c r="H47" s="106"/>
      <c r="I47" s="107"/>
      <c r="J47" s="108"/>
      <c r="K47" s="81"/>
      <c r="L47" s="84"/>
      <c r="M47" s="85"/>
      <c r="N47" s="110"/>
      <c r="O47" s="87"/>
      <c r="P47" s="88"/>
      <c r="Q47" s="89">
        <f t="shared" si="3"/>
        <v>0</v>
      </c>
      <c r="R47" s="89">
        <f t="shared" si="4"/>
        <v>0</v>
      </c>
      <c r="S47" s="89">
        <f t="shared" si="5"/>
        <v>0</v>
      </c>
      <c r="T47" s="90"/>
      <c r="U47" s="91"/>
      <c r="V47" s="91"/>
      <c r="W47" s="92"/>
      <c r="X47" s="93"/>
      <c r="Y47" s="94"/>
      <c r="Z47" s="81"/>
      <c r="AA47" s="104"/>
      <c r="AB47" s="96"/>
      <c r="AC47" s="97"/>
      <c r="AD47" s="98"/>
      <c r="AE47" s="99"/>
      <c r="AF47" s="100"/>
      <c r="AG47" s="101"/>
    </row>
    <row r="48" s="41" customFormat="1" customHeight="1" spans="1:33">
      <c r="A48" s="79"/>
      <c r="B48" s="79"/>
      <c r="C48" s="80"/>
      <c r="D48" s="80"/>
      <c r="E48" s="80"/>
      <c r="F48" s="80"/>
      <c r="G48" s="81"/>
      <c r="H48" s="106"/>
      <c r="I48" s="107"/>
      <c r="J48" s="108"/>
      <c r="K48" s="81"/>
      <c r="L48" s="84"/>
      <c r="M48" s="85"/>
      <c r="N48" s="110"/>
      <c r="O48" s="87"/>
      <c r="P48" s="88"/>
      <c r="Q48" s="89">
        <f t="shared" si="3"/>
        <v>0</v>
      </c>
      <c r="R48" s="89">
        <f t="shared" si="4"/>
        <v>0</v>
      </c>
      <c r="S48" s="89">
        <f t="shared" si="5"/>
        <v>0</v>
      </c>
      <c r="T48" s="90"/>
      <c r="U48" s="91"/>
      <c r="V48" s="91"/>
      <c r="W48" s="92"/>
      <c r="X48" s="93"/>
      <c r="Y48" s="94"/>
      <c r="Z48" s="81"/>
      <c r="AA48" s="104"/>
      <c r="AB48" s="96"/>
      <c r="AC48" s="97"/>
      <c r="AD48" s="98"/>
      <c r="AE48" s="99"/>
      <c r="AF48" s="100"/>
      <c r="AG48" s="101"/>
    </row>
    <row r="49" s="41" customFormat="1" customHeight="1" spans="1:33">
      <c r="A49" s="79"/>
      <c r="B49" s="79"/>
      <c r="C49" s="80"/>
      <c r="D49" s="80"/>
      <c r="E49" s="80"/>
      <c r="F49" s="80"/>
      <c r="G49" s="81"/>
      <c r="H49" s="106"/>
      <c r="I49" s="107"/>
      <c r="J49" s="108"/>
      <c r="K49" s="81"/>
      <c r="L49" s="84"/>
      <c r="M49" s="85"/>
      <c r="N49" s="110"/>
      <c r="O49" s="87"/>
      <c r="P49" s="88"/>
      <c r="Q49" s="89">
        <f t="shared" si="3"/>
        <v>0</v>
      </c>
      <c r="R49" s="89">
        <f t="shared" si="4"/>
        <v>0</v>
      </c>
      <c r="S49" s="89">
        <f t="shared" si="5"/>
        <v>0</v>
      </c>
      <c r="T49" s="90"/>
      <c r="U49" s="91"/>
      <c r="V49" s="91"/>
      <c r="W49" s="92"/>
      <c r="X49" s="93"/>
      <c r="Y49" s="94"/>
      <c r="Z49" s="81"/>
      <c r="AA49" s="104"/>
      <c r="AB49" s="96"/>
      <c r="AC49" s="97"/>
      <c r="AD49" s="98"/>
      <c r="AE49" s="99"/>
      <c r="AF49" s="100"/>
      <c r="AG49" s="101"/>
    </row>
    <row r="50" s="41" customFormat="1" customHeight="1" spans="1:33">
      <c r="A50" s="79"/>
      <c r="B50" s="79"/>
      <c r="C50" s="80"/>
      <c r="D50" s="80"/>
      <c r="E50" s="80"/>
      <c r="F50" s="80"/>
      <c r="G50" s="81"/>
      <c r="H50" s="106"/>
      <c r="I50" s="107"/>
      <c r="J50" s="108"/>
      <c r="K50" s="81"/>
      <c r="L50" s="84"/>
      <c r="M50" s="85"/>
      <c r="N50" s="110"/>
      <c r="O50" s="87"/>
      <c r="P50" s="88"/>
      <c r="Q50" s="89">
        <f t="shared" si="3"/>
        <v>0</v>
      </c>
      <c r="R50" s="89">
        <f t="shared" si="4"/>
        <v>0</v>
      </c>
      <c r="S50" s="89">
        <f t="shared" si="5"/>
        <v>0</v>
      </c>
      <c r="T50" s="90"/>
      <c r="U50" s="91"/>
      <c r="V50" s="91"/>
      <c r="W50" s="92"/>
      <c r="X50" s="93"/>
      <c r="Y50" s="94"/>
      <c r="Z50" s="81"/>
      <c r="AA50" s="104"/>
      <c r="AB50" s="96"/>
      <c r="AC50" s="97"/>
      <c r="AD50" s="98"/>
      <c r="AE50" s="99"/>
      <c r="AF50" s="100"/>
      <c r="AG50" s="101"/>
    </row>
    <row r="51" s="41" customFormat="1" customHeight="1" spans="1:33">
      <c r="A51" s="79"/>
      <c r="B51" s="79"/>
      <c r="C51" s="80"/>
      <c r="D51" s="80"/>
      <c r="E51" s="80"/>
      <c r="F51" s="80"/>
      <c r="G51" s="81"/>
      <c r="H51" s="106"/>
      <c r="I51" s="107"/>
      <c r="J51" s="108"/>
      <c r="K51" s="81"/>
      <c r="L51" s="84"/>
      <c r="M51" s="85"/>
      <c r="N51" s="110"/>
      <c r="O51" s="87"/>
      <c r="P51" s="88"/>
      <c r="Q51" s="89">
        <f t="shared" si="3"/>
        <v>0</v>
      </c>
      <c r="R51" s="89">
        <f t="shared" si="4"/>
        <v>0</v>
      </c>
      <c r="S51" s="89">
        <f t="shared" si="5"/>
        <v>0</v>
      </c>
      <c r="T51" s="90"/>
      <c r="U51" s="91"/>
      <c r="V51" s="91"/>
      <c r="W51" s="92"/>
      <c r="X51" s="93"/>
      <c r="Y51" s="94"/>
      <c r="Z51" s="81"/>
      <c r="AA51" s="104"/>
      <c r="AB51" s="96"/>
      <c r="AC51" s="97"/>
      <c r="AD51" s="98"/>
      <c r="AE51" s="99"/>
      <c r="AF51" s="100"/>
      <c r="AG51" s="101"/>
    </row>
    <row r="52" s="41" customFormat="1" customHeight="1" spans="1:33">
      <c r="A52" s="79"/>
      <c r="B52" s="79"/>
      <c r="C52" s="80"/>
      <c r="D52" s="80"/>
      <c r="E52" s="80"/>
      <c r="F52" s="80"/>
      <c r="G52" s="81"/>
      <c r="H52" s="106"/>
      <c r="I52" s="107"/>
      <c r="J52" s="108"/>
      <c r="K52" s="81"/>
      <c r="L52" s="84"/>
      <c r="M52" s="85"/>
      <c r="N52" s="110"/>
      <c r="O52" s="87"/>
      <c r="P52" s="88"/>
      <c r="Q52" s="89">
        <f t="shared" si="3"/>
        <v>0</v>
      </c>
      <c r="R52" s="89">
        <f t="shared" si="4"/>
        <v>0</v>
      </c>
      <c r="S52" s="89">
        <f t="shared" si="5"/>
        <v>0</v>
      </c>
      <c r="T52" s="90"/>
      <c r="U52" s="91"/>
      <c r="V52" s="91"/>
      <c r="W52" s="92"/>
      <c r="X52" s="93"/>
      <c r="Y52" s="94"/>
      <c r="Z52" s="81"/>
      <c r="AA52" s="104"/>
      <c r="AB52" s="96"/>
      <c r="AC52" s="97"/>
      <c r="AD52" s="98"/>
      <c r="AE52" s="99"/>
      <c r="AF52" s="100"/>
      <c r="AG52" s="101"/>
    </row>
    <row r="53" s="41" customFormat="1" customHeight="1" spans="1:33">
      <c r="A53" s="79"/>
      <c r="B53" s="79"/>
      <c r="C53" s="80"/>
      <c r="D53" s="80"/>
      <c r="E53" s="80"/>
      <c r="F53" s="80"/>
      <c r="G53" s="81"/>
      <c r="H53" s="106"/>
      <c r="I53" s="107"/>
      <c r="J53" s="108"/>
      <c r="K53" s="81"/>
      <c r="L53" s="84"/>
      <c r="M53" s="85"/>
      <c r="N53" s="110"/>
      <c r="O53" s="87"/>
      <c r="P53" s="88"/>
      <c r="Q53" s="89">
        <f t="shared" si="3"/>
        <v>0</v>
      </c>
      <c r="R53" s="89">
        <f t="shared" si="4"/>
        <v>0</v>
      </c>
      <c r="S53" s="89">
        <f t="shared" si="5"/>
        <v>0</v>
      </c>
      <c r="T53" s="90"/>
      <c r="U53" s="91"/>
      <c r="V53" s="91"/>
      <c r="W53" s="92"/>
      <c r="X53" s="93"/>
      <c r="Y53" s="94"/>
      <c r="Z53" s="81"/>
      <c r="AA53" s="104"/>
      <c r="AB53" s="96"/>
      <c r="AC53" s="97"/>
      <c r="AD53" s="98"/>
      <c r="AE53" s="99"/>
      <c r="AF53" s="100"/>
      <c r="AG53" s="101"/>
    </row>
    <row r="54" s="41" customFormat="1" customHeight="1" spans="1:33">
      <c r="A54" s="79"/>
      <c r="B54" s="79"/>
      <c r="C54" s="80"/>
      <c r="D54" s="80"/>
      <c r="E54" s="80"/>
      <c r="F54" s="80"/>
      <c r="G54" s="81"/>
      <c r="H54" s="106"/>
      <c r="I54" s="107"/>
      <c r="J54" s="108"/>
      <c r="K54" s="81"/>
      <c r="L54" s="84"/>
      <c r="M54" s="85"/>
      <c r="N54" s="110"/>
      <c r="O54" s="87"/>
      <c r="P54" s="88"/>
      <c r="Q54" s="89">
        <f t="shared" si="3"/>
        <v>0</v>
      </c>
      <c r="R54" s="89">
        <f t="shared" si="4"/>
        <v>0</v>
      </c>
      <c r="S54" s="89">
        <f t="shared" si="5"/>
        <v>0</v>
      </c>
      <c r="T54" s="90"/>
      <c r="U54" s="91"/>
      <c r="V54" s="91"/>
      <c r="W54" s="92"/>
      <c r="X54" s="93"/>
      <c r="Y54" s="94"/>
      <c r="Z54" s="81"/>
      <c r="AA54" s="104"/>
      <c r="AB54" s="96"/>
      <c r="AC54" s="97"/>
      <c r="AD54" s="98"/>
      <c r="AE54" s="99"/>
      <c r="AF54" s="100"/>
      <c r="AG54" s="101"/>
    </row>
    <row r="55" s="41" customFormat="1" customHeight="1" spans="1:33">
      <c r="A55" s="79"/>
      <c r="B55" s="79"/>
      <c r="C55" s="80"/>
      <c r="D55" s="80"/>
      <c r="E55" s="80"/>
      <c r="F55" s="80"/>
      <c r="G55" s="81"/>
      <c r="H55" s="106"/>
      <c r="I55" s="107"/>
      <c r="J55" s="108"/>
      <c r="K55" s="81"/>
      <c r="L55" s="84"/>
      <c r="M55" s="85"/>
      <c r="N55" s="110"/>
      <c r="O55" s="87"/>
      <c r="P55" s="88"/>
      <c r="Q55" s="89">
        <f t="shared" si="3"/>
        <v>0</v>
      </c>
      <c r="R55" s="89">
        <f t="shared" si="4"/>
        <v>0</v>
      </c>
      <c r="S55" s="89">
        <f t="shared" si="5"/>
        <v>0</v>
      </c>
      <c r="T55" s="90"/>
      <c r="U55" s="91"/>
      <c r="V55" s="91"/>
      <c r="W55" s="92"/>
      <c r="X55" s="93"/>
      <c r="Y55" s="94"/>
      <c r="Z55" s="81"/>
      <c r="AA55" s="104"/>
      <c r="AB55" s="96"/>
      <c r="AC55" s="97"/>
      <c r="AD55" s="98"/>
      <c r="AE55" s="99"/>
      <c r="AF55" s="100"/>
      <c r="AG55" s="101"/>
    </row>
    <row r="56" s="41" customFormat="1" customHeight="1" spans="1:33">
      <c r="A56" s="79"/>
      <c r="B56" s="79"/>
      <c r="C56" s="80"/>
      <c r="D56" s="80"/>
      <c r="E56" s="80"/>
      <c r="F56" s="80"/>
      <c r="G56" s="81"/>
      <c r="H56" s="106"/>
      <c r="I56" s="107"/>
      <c r="J56" s="108"/>
      <c r="K56" s="81"/>
      <c r="L56" s="84"/>
      <c r="M56" s="85"/>
      <c r="N56" s="110"/>
      <c r="O56" s="87"/>
      <c r="P56" s="88"/>
      <c r="Q56" s="89">
        <f t="shared" si="3"/>
        <v>0</v>
      </c>
      <c r="R56" s="89">
        <f t="shared" si="4"/>
        <v>0</v>
      </c>
      <c r="S56" s="89">
        <f t="shared" si="5"/>
        <v>0</v>
      </c>
      <c r="T56" s="90"/>
      <c r="U56" s="91"/>
      <c r="V56" s="91"/>
      <c r="W56" s="92"/>
      <c r="X56" s="93"/>
      <c r="Y56" s="94"/>
      <c r="Z56" s="81"/>
      <c r="AA56" s="104"/>
      <c r="AB56" s="96"/>
      <c r="AC56" s="97"/>
      <c r="AD56" s="98"/>
      <c r="AE56" s="99"/>
      <c r="AF56" s="100"/>
      <c r="AG56" s="101"/>
    </row>
    <row r="57" s="41" customFormat="1" customHeight="1" spans="1:33">
      <c r="A57" s="79"/>
      <c r="B57" s="79"/>
      <c r="C57" s="80"/>
      <c r="D57" s="80"/>
      <c r="E57" s="80"/>
      <c r="F57" s="80"/>
      <c r="G57" s="81"/>
      <c r="H57" s="106"/>
      <c r="I57" s="107"/>
      <c r="J57" s="108"/>
      <c r="K57" s="81"/>
      <c r="L57" s="84"/>
      <c r="M57" s="85"/>
      <c r="N57" s="110"/>
      <c r="O57" s="87"/>
      <c r="P57" s="88"/>
      <c r="Q57" s="89">
        <f t="shared" si="3"/>
        <v>0</v>
      </c>
      <c r="R57" s="89">
        <f t="shared" si="4"/>
        <v>0</v>
      </c>
      <c r="S57" s="89">
        <f t="shared" si="5"/>
        <v>0</v>
      </c>
      <c r="T57" s="90"/>
      <c r="U57" s="91"/>
      <c r="V57" s="91"/>
      <c r="W57" s="92"/>
      <c r="X57" s="93"/>
      <c r="Y57" s="94"/>
      <c r="Z57" s="81"/>
      <c r="AA57" s="104"/>
      <c r="AB57" s="96"/>
      <c r="AC57" s="97"/>
      <c r="AD57" s="98"/>
      <c r="AE57" s="99"/>
      <c r="AF57" s="100"/>
      <c r="AG57" s="101"/>
    </row>
    <row r="58" s="41" customFormat="1" customHeight="1" spans="1:33">
      <c r="A58" s="79"/>
      <c r="B58" s="79"/>
      <c r="C58" s="80"/>
      <c r="D58" s="80"/>
      <c r="E58" s="80"/>
      <c r="F58" s="80"/>
      <c r="G58" s="81"/>
      <c r="H58" s="106"/>
      <c r="I58" s="107"/>
      <c r="J58" s="108"/>
      <c r="K58" s="81"/>
      <c r="L58" s="84"/>
      <c r="M58" s="85"/>
      <c r="N58" s="110"/>
      <c r="O58" s="87"/>
      <c r="P58" s="88"/>
      <c r="Q58" s="89">
        <f t="shared" si="3"/>
        <v>0</v>
      </c>
      <c r="R58" s="89">
        <f t="shared" si="4"/>
        <v>0</v>
      </c>
      <c r="S58" s="89">
        <f t="shared" si="5"/>
        <v>0</v>
      </c>
      <c r="T58" s="90"/>
      <c r="U58" s="91"/>
      <c r="V58" s="91"/>
      <c r="W58" s="92"/>
      <c r="X58" s="93"/>
      <c r="Y58" s="94"/>
      <c r="Z58" s="81"/>
      <c r="AA58" s="104"/>
      <c r="AB58" s="96"/>
      <c r="AC58" s="97"/>
      <c r="AD58" s="98"/>
      <c r="AE58" s="99"/>
      <c r="AF58" s="100"/>
      <c r="AG58" s="101"/>
    </row>
    <row r="59" s="41" customFormat="1" customHeight="1" spans="1:33">
      <c r="A59" s="79"/>
      <c r="B59" s="79"/>
      <c r="C59" s="80"/>
      <c r="D59" s="80"/>
      <c r="E59" s="80"/>
      <c r="F59" s="80"/>
      <c r="G59" s="81"/>
      <c r="H59" s="106"/>
      <c r="I59" s="107"/>
      <c r="J59" s="108"/>
      <c r="K59" s="81"/>
      <c r="L59" s="84"/>
      <c r="M59" s="85"/>
      <c r="N59" s="110"/>
      <c r="O59" s="87"/>
      <c r="P59" s="88"/>
      <c r="Q59" s="89">
        <f t="shared" si="3"/>
        <v>0</v>
      </c>
      <c r="R59" s="89">
        <f t="shared" si="4"/>
        <v>0</v>
      </c>
      <c r="S59" s="89">
        <f t="shared" si="5"/>
        <v>0</v>
      </c>
      <c r="T59" s="90"/>
      <c r="U59" s="91"/>
      <c r="V59" s="91"/>
      <c r="W59" s="92"/>
      <c r="X59" s="93"/>
      <c r="Y59" s="94"/>
      <c r="Z59" s="81"/>
      <c r="AA59" s="104"/>
      <c r="AB59" s="96"/>
      <c r="AC59" s="97"/>
      <c r="AD59" s="98"/>
      <c r="AE59" s="99"/>
      <c r="AF59" s="100"/>
      <c r="AG59" s="101"/>
    </row>
    <row r="60" s="41" customFormat="1" customHeight="1" spans="1:33">
      <c r="A60" s="79"/>
      <c r="B60" s="79"/>
      <c r="C60" s="80"/>
      <c r="D60" s="80"/>
      <c r="E60" s="80"/>
      <c r="F60" s="80"/>
      <c r="G60" s="81"/>
      <c r="H60" s="106"/>
      <c r="I60" s="107"/>
      <c r="J60" s="108"/>
      <c r="K60" s="81"/>
      <c r="L60" s="84"/>
      <c r="M60" s="85"/>
      <c r="N60" s="110"/>
      <c r="O60" s="87"/>
      <c r="P60" s="88"/>
      <c r="Q60" s="89">
        <f t="shared" si="3"/>
        <v>0</v>
      </c>
      <c r="R60" s="89">
        <f t="shared" si="4"/>
        <v>0</v>
      </c>
      <c r="S60" s="89">
        <f t="shared" si="5"/>
        <v>0</v>
      </c>
      <c r="T60" s="90"/>
      <c r="U60" s="91"/>
      <c r="V60" s="91"/>
      <c r="W60" s="92"/>
      <c r="X60" s="93"/>
      <c r="Y60" s="94"/>
      <c r="Z60" s="81"/>
      <c r="AA60" s="104"/>
      <c r="AB60" s="96"/>
      <c r="AC60" s="97"/>
      <c r="AD60" s="98"/>
      <c r="AE60" s="99"/>
      <c r="AF60" s="100"/>
      <c r="AG60" s="101"/>
    </row>
    <row r="61" s="41" customFormat="1" customHeight="1" spans="1:33">
      <c r="A61" s="79"/>
      <c r="B61" s="79"/>
      <c r="C61" s="80"/>
      <c r="D61" s="80"/>
      <c r="E61" s="80"/>
      <c r="F61" s="80"/>
      <c r="G61" s="81"/>
      <c r="H61" s="106"/>
      <c r="I61" s="107"/>
      <c r="J61" s="108"/>
      <c r="K61" s="81"/>
      <c r="L61" s="84"/>
      <c r="M61" s="85"/>
      <c r="N61" s="110"/>
      <c r="O61" s="87"/>
      <c r="P61" s="88"/>
      <c r="Q61" s="89">
        <f t="shared" si="3"/>
        <v>0</v>
      </c>
      <c r="R61" s="89">
        <f t="shared" si="4"/>
        <v>0</v>
      </c>
      <c r="S61" s="89">
        <f t="shared" si="5"/>
        <v>0</v>
      </c>
      <c r="T61" s="90"/>
      <c r="U61" s="91"/>
      <c r="V61" s="91"/>
      <c r="W61" s="92"/>
      <c r="X61" s="93"/>
      <c r="Y61" s="94"/>
      <c r="Z61" s="81"/>
      <c r="AA61" s="104"/>
      <c r="AB61" s="96"/>
      <c r="AC61" s="97"/>
      <c r="AD61" s="98"/>
      <c r="AE61" s="99"/>
      <c r="AF61" s="100"/>
      <c r="AG61" s="101"/>
    </row>
    <row r="62" s="41" customFormat="1" customHeight="1" spans="1:33">
      <c r="A62" s="79"/>
      <c r="B62" s="79"/>
      <c r="C62" s="80"/>
      <c r="D62" s="80"/>
      <c r="E62" s="80"/>
      <c r="F62" s="80"/>
      <c r="G62" s="81"/>
      <c r="H62" s="106"/>
      <c r="I62" s="107"/>
      <c r="J62" s="108"/>
      <c r="K62" s="81"/>
      <c r="L62" s="84"/>
      <c r="M62" s="85"/>
      <c r="N62" s="110"/>
      <c r="O62" s="87"/>
      <c r="P62" s="88"/>
      <c r="Q62" s="89">
        <f t="shared" si="3"/>
        <v>0</v>
      </c>
      <c r="R62" s="89">
        <f t="shared" si="4"/>
        <v>0</v>
      </c>
      <c r="S62" s="89">
        <f t="shared" si="5"/>
        <v>0</v>
      </c>
      <c r="T62" s="90"/>
      <c r="U62" s="91"/>
      <c r="V62" s="91"/>
      <c r="W62" s="92"/>
      <c r="X62" s="93"/>
      <c r="Y62" s="94"/>
      <c r="Z62" s="81"/>
      <c r="AA62" s="104"/>
      <c r="AB62" s="96"/>
      <c r="AC62" s="97"/>
      <c r="AD62" s="98"/>
      <c r="AE62" s="99"/>
      <c r="AF62" s="100"/>
      <c r="AG62" s="101"/>
    </row>
    <row r="63" s="41" customFormat="1" customHeight="1" spans="1:33">
      <c r="A63" s="79"/>
      <c r="B63" s="79"/>
      <c r="C63" s="80"/>
      <c r="D63" s="80"/>
      <c r="E63" s="80"/>
      <c r="F63" s="80"/>
      <c r="G63" s="81"/>
      <c r="H63" s="106"/>
      <c r="I63" s="107"/>
      <c r="J63" s="108"/>
      <c r="K63" s="81"/>
      <c r="L63" s="84"/>
      <c r="M63" s="85"/>
      <c r="N63" s="110"/>
      <c r="O63" s="87"/>
      <c r="P63" s="88"/>
      <c r="Q63" s="89">
        <f t="shared" si="3"/>
        <v>0</v>
      </c>
      <c r="R63" s="89">
        <f t="shared" si="4"/>
        <v>0</v>
      </c>
      <c r="S63" s="89">
        <f t="shared" si="5"/>
        <v>0</v>
      </c>
      <c r="T63" s="90"/>
      <c r="U63" s="91"/>
      <c r="V63" s="91"/>
      <c r="W63" s="92"/>
      <c r="X63" s="93"/>
      <c r="Y63" s="94"/>
      <c r="Z63" s="81"/>
      <c r="AA63" s="104"/>
      <c r="AB63" s="96"/>
      <c r="AC63" s="97"/>
      <c r="AD63" s="98"/>
      <c r="AE63" s="99"/>
      <c r="AF63" s="100"/>
      <c r="AG63" s="101"/>
    </row>
    <row r="64" s="41" customFormat="1" customHeight="1" spans="1:33">
      <c r="A64" s="79"/>
      <c r="B64" s="79"/>
      <c r="C64" s="80"/>
      <c r="D64" s="80"/>
      <c r="E64" s="80"/>
      <c r="F64" s="80"/>
      <c r="G64" s="81"/>
      <c r="H64" s="106"/>
      <c r="I64" s="107"/>
      <c r="J64" s="108"/>
      <c r="K64" s="81"/>
      <c r="L64" s="84"/>
      <c r="M64" s="85"/>
      <c r="N64" s="110"/>
      <c r="O64" s="87"/>
      <c r="P64" s="88"/>
      <c r="Q64" s="89">
        <f t="shared" si="3"/>
        <v>0</v>
      </c>
      <c r="R64" s="89">
        <f t="shared" si="4"/>
        <v>0</v>
      </c>
      <c r="S64" s="89">
        <f t="shared" si="5"/>
        <v>0</v>
      </c>
      <c r="T64" s="90"/>
      <c r="U64" s="91"/>
      <c r="V64" s="91"/>
      <c r="W64" s="92"/>
      <c r="X64" s="93"/>
      <c r="Y64" s="94"/>
      <c r="Z64" s="81"/>
      <c r="AA64" s="104"/>
      <c r="AB64" s="96"/>
      <c r="AC64" s="97"/>
      <c r="AD64" s="98"/>
      <c r="AE64" s="99"/>
      <c r="AF64" s="100"/>
      <c r="AG64" s="101"/>
    </row>
    <row r="65" s="41" customFormat="1" customHeight="1" spans="1:33">
      <c r="A65" s="79"/>
      <c r="B65" s="79"/>
      <c r="C65" s="80"/>
      <c r="D65" s="80"/>
      <c r="E65" s="80"/>
      <c r="F65" s="80"/>
      <c r="G65" s="81"/>
      <c r="H65" s="106"/>
      <c r="I65" s="107"/>
      <c r="J65" s="108"/>
      <c r="K65" s="81"/>
      <c r="L65" s="84"/>
      <c r="M65" s="85"/>
      <c r="N65" s="110"/>
      <c r="O65" s="87"/>
      <c r="P65" s="88"/>
      <c r="Q65" s="89">
        <f t="shared" si="3"/>
        <v>0</v>
      </c>
      <c r="R65" s="89">
        <f t="shared" si="4"/>
        <v>0</v>
      </c>
      <c r="S65" s="89">
        <f t="shared" si="5"/>
        <v>0</v>
      </c>
      <c r="T65" s="90"/>
      <c r="U65" s="91"/>
      <c r="V65" s="91"/>
      <c r="W65" s="92"/>
      <c r="X65" s="93"/>
      <c r="Y65" s="94"/>
      <c r="Z65" s="81"/>
      <c r="AA65" s="104"/>
      <c r="AB65" s="96"/>
      <c r="AC65" s="97"/>
      <c r="AD65" s="98"/>
      <c r="AE65" s="99"/>
      <c r="AF65" s="100"/>
      <c r="AG65" s="101"/>
    </row>
    <row r="66" s="41" customFormat="1" customHeight="1" spans="1:33">
      <c r="A66" s="79"/>
      <c r="B66" s="79"/>
      <c r="C66" s="80"/>
      <c r="D66" s="80"/>
      <c r="E66" s="80"/>
      <c r="F66" s="80"/>
      <c r="G66" s="81"/>
      <c r="H66" s="106"/>
      <c r="I66" s="107"/>
      <c r="J66" s="108"/>
      <c r="K66" s="81"/>
      <c r="L66" s="84"/>
      <c r="M66" s="85"/>
      <c r="N66" s="110"/>
      <c r="O66" s="87"/>
      <c r="P66" s="88"/>
      <c r="Q66" s="89">
        <f t="shared" si="3"/>
        <v>0</v>
      </c>
      <c r="R66" s="89">
        <f t="shared" si="4"/>
        <v>0</v>
      </c>
      <c r="S66" s="89">
        <f t="shared" si="5"/>
        <v>0</v>
      </c>
      <c r="T66" s="90"/>
      <c r="U66" s="91"/>
      <c r="V66" s="91"/>
      <c r="W66" s="92"/>
      <c r="X66" s="93"/>
      <c r="Y66" s="94"/>
      <c r="Z66" s="81"/>
      <c r="AA66" s="104"/>
      <c r="AB66" s="96"/>
      <c r="AC66" s="97"/>
      <c r="AD66" s="98"/>
      <c r="AE66" s="99"/>
      <c r="AF66" s="100"/>
      <c r="AG66" s="101"/>
    </row>
    <row r="67" s="41" customFormat="1" customHeight="1" spans="1:33">
      <c r="A67" s="79"/>
      <c r="B67" s="79"/>
      <c r="C67" s="80"/>
      <c r="D67" s="80"/>
      <c r="E67" s="80"/>
      <c r="F67" s="80"/>
      <c r="G67" s="81"/>
      <c r="H67" s="106"/>
      <c r="I67" s="107"/>
      <c r="J67" s="108"/>
      <c r="K67" s="81"/>
      <c r="L67" s="84"/>
      <c r="M67" s="85"/>
      <c r="N67" s="110"/>
      <c r="O67" s="87"/>
      <c r="P67" s="88"/>
      <c r="Q67" s="89">
        <f t="shared" ref="Q67:Q98" si="6">O67*N67+P67</f>
        <v>0</v>
      </c>
      <c r="R67" s="89">
        <f t="shared" ref="R67:R98" si="7">Q67*0.2</f>
        <v>0</v>
      </c>
      <c r="S67" s="89">
        <f t="shared" ref="S67:S98" si="8">R67+Q67</f>
        <v>0</v>
      </c>
      <c r="T67" s="90"/>
      <c r="U67" s="91"/>
      <c r="V67" s="91"/>
      <c r="W67" s="92"/>
      <c r="X67" s="93"/>
      <c r="Y67" s="94"/>
      <c r="Z67" s="81"/>
      <c r="AA67" s="104"/>
      <c r="AB67" s="96"/>
      <c r="AC67" s="97"/>
      <c r="AD67" s="98"/>
      <c r="AE67" s="99"/>
      <c r="AF67" s="100"/>
      <c r="AG67" s="101"/>
    </row>
    <row r="68" s="41" customFormat="1" customHeight="1" spans="1:33">
      <c r="A68" s="79"/>
      <c r="B68" s="79"/>
      <c r="C68" s="80"/>
      <c r="D68" s="80"/>
      <c r="E68" s="80"/>
      <c r="F68" s="80"/>
      <c r="G68" s="81"/>
      <c r="H68" s="106"/>
      <c r="I68" s="107"/>
      <c r="J68" s="108"/>
      <c r="K68" s="81"/>
      <c r="L68" s="84"/>
      <c r="M68" s="85"/>
      <c r="N68" s="110"/>
      <c r="O68" s="87"/>
      <c r="P68" s="88"/>
      <c r="Q68" s="89">
        <f t="shared" si="6"/>
        <v>0</v>
      </c>
      <c r="R68" s="89">
        <f t="shared" si="7"/>
        <v>0</v>
      </c>
      <c r="S68" s="89">
        <f t="shared" si="8"/>
        <v>0</v>
      </c>
      <c r="T68" s="90"/>
      <c r="U68" s="91"/>
      <c r="V68" s="91"/>
      <c r="W68" s="92"/>
      <c r="X68" s="93"/>
      <c r="Y68" s="94"/>
      <c r="Z68" s="81"/>
      <c r="AA68" s="104"/>
      <c r="AB68" s="96"/>
      <c r="AC68" s="97"/>
      <c r="AD68" s="98"/>
      <c r="AE68" s="99"/>
      <c r="AF68" s="100"/>
      <c r="AG68" s="101"/>
    </row>
    <row r="69" s="41" customFormat="1" customHeight="1" spans="1:33">
      <c r="A69" s="79"/>
      <c r="B69" s="79"/>
      <c r="C69" s="80"/>
      <c r="D69" s="80"/>
      <c r="E69" s="80"/>
      <c r="F69" s="80"/>
      <c r="G69" s="81"/>
      <c r="H69" s="106"/>
      <c r="I69" s="107"/>
      <c r="J69" s="108"/>
      <c r="K69" s="81"/>
      <c r="L69" s="84"/>
      <c r="M69" s="85"/>
      <c r="N69" s="110"/>
      <c r="O69" s="87"/>
      <c r="P69" s="88"/>
      <c r="Q69" s="89">
        <f t="shared" si="6"/>
        <v>0</v>
      </c>
      <c r="R69" s="89">
        <f t="shared" si="7"/>
        <v>0</v>
      </c>
      <c r="S69" s="89">
        <f t="shared" si="8"/>
        <v>0</v>
      </c>
      <c r="T69" s="90"/>
      <c r="U69" s="91"/>
      <c r="V69" s="91"/>
      <c r="W69" s="92"/>
      <c r="X69" s="93"/>
      <c r="Y69" s="94"/>
      <c r="Z69" s="81"/>
      <c r="AA69" s="104"/>
      <c r="AB69" s="96"/>
      <c r="AC69" s="97"/>
      <c r="AD69" s="98"/>
      <c r="AE69" s="99"/>
      <c r="AF69" s="100"/>
      <c r="AG69" s="101"/>
    </row>
    <row r="70" s="41" customFormat="1" customHeight="1" spans="1:33">
      <c r="A70" s="79"/>
      <c r="B70" s="79"/>
      <c r="C70" s="80"/>
      <c r="D70" s="80"/>
      <c r="E70" s="80"/>
      <c r="F70" s="80"/>
      <c r="G70" s="81"/>
      <c r="H70" s="106"/>
      <c r="I70" s="107"/>
      <c r="J70" s="108"/>
      <c r="K70" s="81"/>
      <c r="L70" s="84"/>
      <c r="M70" s="85"/>
      <c r="N70" s="110"/>
      <c r="O70" s="87"/>
      <c r="P70" s="88"/>
      <c r="Q70" s="89">
        <f t="shared" si="6"/>
        <v>0</v>
      </c>
      <c r="R70" s="89">
        <f t="shared" si="7"/>
        <v>0</v>
      </c>
      <c r="S70" s="89">
        <f t="shared" si="8"/>
        <v>0</v>
      </c>
      <c r="T70" s="90"/>
      <c r="U70" s="91"/>
      <c r="V70" s="91"/>
      <c r="W70" s="92"/>
      <c r="X70" s="93"/>
      <c r="Y70" s="94"/>
      <c r="Z70" s="81"/>
      <c r="AA70" s="104"/>
      <c r="AB70" s="96"/>
      <c r="AC70" s="97"/>
      <c r="AD70" s="98"/>
      <c r="AE70" s="99"/>
      <c r="AF70" s="100"/>
      <c r="AG70" s="101"/>
    </row>
    <row r="71" s="41" customFormat="1" customHeight="1" spans="1:33">
      <c r="A71" s="79"/>
      <c r="B71" s="79"/>
      <c r="C71" s="80"/>
      <c r="D71" s="80"/>
      <c r="E71" s="80"/>
      <c r="F71" s="80"/>
      <c r="G71" s="81"/>
      <c r="H71" s="106"/>
      <c r="I71" s="107"/>
      <c r="J71" s="108"/>
      <c r="K71" s="81"/>
      <c r="L71" s="84"/>
      <c r="M71" s="85"/>
      <c r="N71" s="110"/>
      <c r="O71" s="87"/>
      <c r="P71" s="88"/>
      <c r="Q71" s="89">
        <f t="shared" si="6"/>
        <v>0</v>
      </c>
      <c r="R71" s="89">
        <f t="shared" si="7"/>
        <v>0</v>
      </c>
      <c r="S71" s="89">
        <f t="shared" si="8"/>
        <v>0</v>
      </c>
      <c r="T71" s="90"/>
      <c r="U71" s="91"/>
      <c r="V71" s="91"/>
      <c r="W71" s="92"/>
      <c r="X71" s="93"/>
      <c r="Y71" s="94"/>
      <c r="Z71" s="81"/>
      <c r="AA71" s="104"/>
      <c r="AB71" s="96"/>
      <c r="AC71" s="97"/>
      <c r="AD71" s="98"/>
      <c r="AE71" s="99"/>
      <c r="AF71" s="100"/>
      <c r="AG71" s="101"/>
    </row>
    <row r="72" s="41" customFormat="1" customHeight="1" spans="1:33">
      <c r="A72" s="79"/>
      <c r="B72" s="79"/>
      <c r="C72" s="80"/>
      <c r="D72" s="80"/>
      <c r="E72" s="80"/>
      <c r="F72" s="80"/>
      <c r="G72" s="81"/>
      <c r="H72" s="106"/>
      <c r="I72" s="107"/>
      <c r="J72" s="108"/>
      <c r="K72" s="81"/>
      <c r="L72" s="84"/>
      <c r="M72" s="85"/>
      <c r="N72" s="110"/>
      <c r="O72" s="87"/>
      <c r="P72" s="88"/>
      <c r="Q72" s="89">
        <f t="shared" si="6"/>
        <v>0</v>
      </c>
      <c r="R72" s="89">
        <f t="shared" si="7"/>
        <v>0</v>
      </c>
      <c r="S72" s="89">
        <f t="shared" si="8"/>
        <v>0</v>
      </c>
      <c r="T72" s="90"/>
      <c r="U72" s="91"/>
      <c r="V72" s="91"/>
      <c r="W72" s="92"/>
      <c r="X72" s="93"/>
      <c r="Y72" s="94"/>
      <c r="Z72" s="81"/>
      <c r="AA72" s="104"/>
      <c r="AB72" s="96"/>
      <c r="AC72" s="97"/>
      <c r="AD72" s="98"/>
      <c r="AE72" s="99"/>
      <c r="AF72" s="100"/>
      <c r="AG72" s="101"/>
    </row>
    <row r="73" s="41" customFormat="1" customHeight="1" spans="1:33">
      <c r="A73" s="79"/>
      <c r="B73" s="79"/>
      <c r="C73" s="80"/>
      <c r="D73" s="80"/>
      <c r="E73" s="80"/>
      <c r="F73" s="80"/>
      <c r="G73" s="81"/>
      <c r="H73" s="106"/>
      <c r="I73" s="107"/>
      <c r="J73" s="108"/>
      <c r="K73" s="81"/>
      <c r="L73" s="84"/>
      <c r="M73" s="85"/>
      <c r="N73" s="110"/>
      <c r="O73" s="87"/>
      <c r="P73" s="88"/>
      <c r="Q73" s="89">
        <f t="shared" si="6"/>
        <v>0</v>
      </c>
      <c r="R73" s="89">
        <f t="shared" si="7"/>
        <v>0</v>
      </c>
      <c r="S73" s="89">
        <f t="shared" si="8"/>
        <v>0</v>
      </c>
      <c r="T73" s="90"/>
      <c r="U73" s="91"/>
      <c r="V73" s="91"/>
      <c r="W73" s="92"/>
      <c r="X73" s="93"/>
      <c r="Y73" s="94"/>
      <c r="Z73" s="81"/>
      <c r="AA73" s="104"/>
      <c r="AB73" s="96"/>
      <c r="AC73" s="97"/>
      <c r="AD73" s="98"/>
      <c r="AE73" s="99"/>
      <c r="AF73" s="100"/>
      <c r="AG73" s="101"/>
    </row>
    <row r="74" s="41" customFormat="1" customHeight="1" spans="1:33">
      <c r="A74" s="79"/>
      <c r="B74" s="79"/>
      <c r="C74" s="80"/>
      <c r="D74" s="80"/>
      <c r="E74" s="80"/>
      <c r="F74" s="80"/>
      <c r="G74" s="81"/>
      <c r="H74" s="106"/>
      <c r="I74" s="107"/>
      <c r="J74" s="108"/>
      <c r="K74" s="81"/>
      <c r="L74" s="84"/>
      <c r="M74" s="85"/>
      <c r="N74" s="110"/>
      <c r="O74" s="87"/>
      <c r="P74" s="88"/>
      <c r="Q74" s="89">
        <f t="shared" si="6"/>
        <v>0</v>
      </c>
      <c r="R74" s="89">
        <f t="shared" si="7"/>
        <v>0</v>
      </c>
      <c r="S74" s="89">
        <f t="shared" si="8"/>
        <v>0</v>
      </c>
      <c r="T74" s="90"/>
      <c r="U74" s="91"/>
      <c r="V74" s="91"/>
      <c r="W74" s="92"/>
      <c r="X74" s="93"/>
      <c r="Y74" s="94"/>
      <c r="Z74" s="81"/>
      <c r="AA74" s="104"/>
      <c r="AB74" s="96"/>
      <c r="AC74" s="97"/>
      <c r="AD74" s="98"/>
      <c r="AE74" s="99"/>
      <c r="AF74" s="100"/>
      <c r="AG74" s="101"/>
    </row>
    <row r="75" s="41" customFormat="1" customHeight="1" spans="1:33">
      <c r="A75" s="79"/>
      <c r="B75" s="79"/>
      <c r="C75" s="80"/>
      <c r="D75" s="80"/>
      <c r="E75" s="80"/>
      <c r="F75" s="80"/>
      <c r="G75" s="81"/>
      <c r="H75" s="106"/>
      <c r="I75" s="107"/>
      <c r="J75" s="108"/>
      <c r="K75" s="81"/>
      <c r="L75" s="84"/>
      <c r="M75" s="85"/>
      <c r="N75" s="110"/>
      <c r="O75" s="87"/>
      <c r="P75" s="88"/>
      <c r="Q75" s="89">
        <f t="shared" si="6"/>
        <v>0</v>
      </c>
      <c r="R75" s="89">
        <f t="shared" si="7"/>
        <v>0</v>
      </c>
      <c r="S75" s="89">
        <f t="shared" si="8"/>
        <v>0</v>
      </c>
      <c r="T75" s="90"/>
      <c r="U75" s="91"/>
      <c r="V75" s="91"/>
      <c r="W75" s="92"/>
      <c r="X75" s="93"/>
      <c r="Y75" s="94"/>
      <c r="Z75" s="81"/>
      <c r="AA75" s="104"/>
      <c r="AB75" s="96"/>
      <c r="AC75" s="97"/>
      <c r="AD75" s="98"/>
      <c r="AE75" s="99"/>
      <c r="AF75" s="100"/>
      <c r="AG75" s="101"/>
    </row>
    <row r="76" s="41" customFormat="1" customHeight="1" spans="1:33">
      <c r="A76" s="79"/>
      <c r="B76" s="79"/>
      <c r="C76" s="80"/>
      <c r="D76" s="80"/>
      <c r="E76" s="80"/>
      <c r="F76" s="80"/>
      <c r="G76" s="81"/>
      <c r="H76" s="106"/>
      <c r="I76" s="107"/>
      <c r="J76" s="108"/>
      <c r="K76" s="81"/>
      <c r="L76" s="84"/>
      <c r="M76" s="85"/>
      <c r="N76" s="110"/>
      <c r="O76" s="87"/>
      <c r="P76" s="88"/>
      <c r="Q76" s="89">
        <f t="shared" si="6"/>
        <v>0</v>
      </c>
      <c r="R76" s="89">
        <f t="shared" si="7"/>
        <v>0</v>
      </c>
      <c r="S76" s="89">
        <f t="shared" si="8"/>
        <v>0</v>
      </c>
      <c r="T76" s="90"/>
      <c r="U76" s="91"/>
      <c r="V76" s="91"/>
      <c r="W76" s="92"/>
      <c r="X76" s="93"/>
      <c r="Y76" s="94"/>
      <c r="Z76" s="81"/>
      <c r="AA76" s="104"/>
      <c r="AB76" s="96"/>
      <c r="AC76" s="97"/>
      <c r="AD76" s="98"/>
      <c r="AE76" s="99"/>
      <c r="AF76" s="100"/>
      <c r="AG76" s="101"/>
    </row>
    <row r="77" s="41" customFormat="1" customHeight="1" spans="1:33">
      <c r="A77" s="79"/>
      <c r="B77" s="79"/>
      <c r="C77" s="80"/>
      <c r="D77" s="80"/>
      <c r="E77" s="80"/>
      <c r="F77" s="80"/>
      <c r="G77" s="81"/>
      <c r="H77" s="106"/>
      <c r="I77" s="107"/>
      <c r="J77" s="108"/>
      <c r="K77" s="81"/>
      <c r="L77" s="84"/>
      <c r="M77" s="85"/>
      <c r="N77" s="110"/>
      <c r="O77" s="87"/>
      <c r="P77" s="88"/>
      <c r="Q77" s="89">
        <f t="shared" si="6"/>
        <v>0</v>
      </c>
      <c r="R77" s="89">
        <f t="shared" si="7"/>
        <v>0</v>
      </c>
      <c r="S77" s="89">
        <f t="shared" si="8"/>
        <v>0</v>
      </c>
      <c r="T77" s="90"/>
      <c r="U77" s="91"/>
      <c r="V77" s="91"/>
      <c r="W77" s="92"/>
      <c r="X77" s="93"/>
      <c r="Y77" s="94"/>
      <c r="Z77" s="81"/>
      <c r="AA77" s="104"/>
      <c r="AB77" s="96"/>
      <c r="AC77" s="97"/>
      <c r="AD77" s="98"/>
      <c r="AE77" s="99"/>
      <c r="AF77" s="100"/>
      <c r="AG77" s="101"/>
    </row>
    <row r="78" s="41" customFormat="1" customHeight="1" spans="1:33">
      <c r="A78" s="79"/>
      <c r="B78" s="79"/>
      <c r="C78" s="80"/>
      <c r="D78" s="80"/>
      <c r="E78" s="80"/>
      <c r="F78" s="80"/>
      <c r="G78" s="81"/>
      <c r="H78" s="106"/>
      <c r="I78" s="107"/>
      <c r="J78" s="108"/>
      <c r="K78" s="81"/>
      <c r="L78" s="84"/>
      <c r="M78" s="85"/>
      <c r="N78" s="110"/>
      <c r="O78" s="87"/>
      <c r="P78" s="88"/>
      <c r="Q78" s="89">
        <f t="shared" si="6"/>
        <v>0</v>
      </c>
      <c r="R78" s="89">
        <f t="shared" si="7"/>
        <v>0</v>
      </c>
      <c r="S78" s="89">
        <f t="shared" si="8"/>
        <v>0</v>
      </c>
      <c r="T78" s="90"/>
      <c r="U78" s="91"/>
      <c r="V78" s="91"/>
      <c r="W78" s="92"/>
      <c r="X78" s="93"/>
      <c r="Y78" s="94"/>
      <c r="Z78" s="81"/>
      <c r="AA78" s="104"/>
      <c r="AB78" s="96"/>
      <c r="AC78" s="97"/>
      <c r="AD78" s="98"/>
      <c r="AE78" s="99"/>
      <c r="AF78" s="100"/>
      <c r="AG78" s="101"/>
    </row>
    <row r="79" s="41" customFormat="1" customHeight="1" spans="1:33">
      <c r="A79" s="79"/>
      <c r="B79" s="79"/>
      <c r="C79" s="80"/>
      <c r="D79" s="80"/>
      <c r="E79" s="80"/>
      <c r="F79" s="80"/>
      <c r="G79" s="81"/>
      <c r="H79" s="106"/>
      <c r="I79" s="107"/>
      <c r="J79" s="108"/>
      <c r="K79" s="81"/>
      <c r="L79" s="84"/>
      <c r="M79" s="85"/>
      <c r="N79" s="110"/>
      <c r="O79" s="87"/>
      <c r="P79" s="88"/>
      <c r="Q79" s="89">
        <f t="shared" si="6"/>
        <v>0</v>
      </c>
      <c r="R79" s="89">
        <f t="shared" si="7"/>
        <v>0</v>
      </c>
      <c r="S79" s="89">
        <f t="shared" si="8"/>
        <v>0</v>
      </c>
      <c r="T79" s="90"/>
      <c r="U79" s="91"/>
      <c r="V79" s="91"/>
      <c r="W79" s="92"/>
      <c r="X79" s="93"/>
      <c r="Y79" s="94"/>
      <c r="Z79" s="81"/>
      <c r="AA79" s="104"/>
      <c r="AB79" s="96"/>
      <c r="AC79" s="97"/>
      <c r="AD79" s="98"/>
      <c r="AE79" s="99"/>
      <c r="AF79" s="100"/>
      <c r="AG79" s="101"/>
    </row>
    <row r="80" s="41" customFormat="1" customHeight="1" spans="1:33">
      <c r="A80" s="79"/>
      <c r="B80" s="79"/>
      <c r="C80" s="80"/>
      <c r="D80" s="80"/>
      <c r="E80" s="80"/>
      <c r="F80" s="80"/>
      <c r="G80" s="81"/>
      <c r="H80" s="106"/>
      <c r="I80" s="107"/>
      <c r="J80" s="108"/>
      <c r="K80" s="81"/>
      <c r="L80" s="84"/>
      <c r="M80" s="85"/>
      <c r="N80" s="110"/>
      <c r="O80" s="87"/>
      <c r="P80" s="88"/>
      <c r="Q80" s="89">
        <f t="shared" si="6"/>
        <v>0</v>
      </c>
      <c r="R80" s="89">
        <f t="shared" si="7"/>
        <v>0</v>
      </c>
      <c r="S80" s="89">
        <f t="shared" si="8"/>
        <v>0</v>
      </c>
      <c r="T80" s="90"/>
      <c r="U80" s="91"/>
      <c r="V80" s="91"/>
      <c r="W80" s="92"/>
      <c r="X80" s="93"/>
      <c r="Y80" s="94"/>
      <c r="Z80" s="81"/>
      <c r="AA80" s="104"/>
      <c r="AB80" s="96"/>
      <c r="AC80" s="97"/>
      <c r="AD80" s="98"/>
      <c r="AE80" s="99"/>
      <c r="AF80" s="100"/>
      <c r="AG80" s="101"/>
    </row>
    <row r="81" s="41" customFormat="1" customHeight="1" spans="1:33">
      <c r="A81" s="79"/>
      <c r="B81" s="79"/>
      <c r="C81" s="80"/>
      <c r="D81" s="80"/>
      <c r="E81" s="80"/>
      <c r="F81" s="80"/>
      <c r="G81" s="81"/>
      <c r="H81" s="106"/>
      <c r="I81" s="107"/>
      <c r="J81" s="108"/>
      <c r="K81" s="81"/>
      <c r="L81" s="84"/>
      <c r="M81" s="85"/>
      <c r="N81" s="110"/>
      <c r="O81" s="87"/>
      <c r="P81" s="88"/>
      <c r="Q81" s="89">
        <f t="shared" si="6"/>
        <v>0</v>
      </c>
      <c r="R81" s="89">
        <f t="shared" si="7"/>
        <v>0</v>
      </c>
      <c r="S81" s="89">
        <f t="shared" si="8"/>
        <v>0</v>
      </c>
      <c r="T81" s="90"/>
      <c r="U81" s="91"/>
      <c r="V81" s="91"/>
      <c r="W81" s="92"/>
      <c r="X81" s="93"/>
      <c r="Y81" s="94"/>
      <c r="Z81" s="81"/>
      <c r="AA81" s="104"/>
      <c r="AB81" s="96"/>
      <c r="AC81" s="97"/>
      <c r="AD81" s="98"/>
      <c r="AE81" s="99"/>
      <c r="AF81" s="100"/>
      <c r="AG81" s="101"/>
    </row>
    <row r="82" s="41" customFormat="1" customHeight="1" spans="1:33">
      <c r="A82" s="79"/>
      <c r="B82" s="79"/>
      <c r="C82" s="80"/>
      <c r="D82" s="80"/>
      <c r="E82" s="80"/>
      <c r="F82" s="80"/>
      <c r="G82" s="81"/>
      <c r="H82" s="106"/>
      <c r="I82" s="107"/>
      <c r="J82" s="108"/>
      <c r="K82" s="81"/>
      <c r="L82" s="84"/>
      <c r="M82" s="85"/>
      <c r="N82" s="110"/>
      <c r="O82" s="87"/>
      <c r="P82" s="88"/>
      <c r="Q82" s="89">
        <f t="shared" si="6"/>
        <v>0</v>
      </c>
      <c r="R82" s="89">
        <f t="shared" si="7"/>
        <v>0</v>
      </c>
      <c r="S82" s="89">
        <f t="shared" si="8"/>
        <v>0</v>
      </c>
      <c r="T82" s="90"/>
      <c r="U82" s="91"/>
      <c r="V82" s="91"/>
      <c r="W82" s="92"/>
      <c r="X82" s="93"/>
      <c r="Y82" s="94"/>
      <c r="Z82" s="81"/>
      <c r="AA82" s="104"/>
      <c r="AB82" s="96"/>
      <c r="AC82" s="97"/>
      <c r="AD82" s="98"/>
      <c r="AE82" s="99"/>
      <c r="AF82" s="100"/>
      <c r="AG82" s="101"/>
    </row>
    <row r="83" s="41" customFormat="1" customHeight="1" spans="1:33">
      <c r="A83" s="79"/>
      <c r="B83" s="79"/>
      <c r="C83" s="80"/>
      <c r="D83" s="80"/>
      <c r="E83" s="80"/>
      <c r="F83" s="80"/>
      <c r="G83" s="81"/>
      <c r="H83" s="106"/>
      <c r="I83" s="107"/>
      <c r="J83" s="108"/>
      <c r="K83" s="81"/>
      <c r="L83" s="84"/>
      <c r="M83" s="85"/>
      <c r="N83" s="110"/>
      <c r="O83" s="87"/>
      <c r="P83" s="88"/>
      <c r="Q83" s="89">
        <f t="shared" si="6"/>
        <v>0</v>
      </c>
      <c r="R83" s="89">
        <f t="shared" si="7"/>
        <v>0</v>
      </c>
      <c r="S83" s="89">
        <f t="shared" si="8"/>
        <v>0</v>
      </c>
      <c r="T83" s="90"/>
      <c r="U83" s="91"/>
      <c r="V83" s="91"/>
      <c r="W83" s="92"/>
      <c r="X83" s="93"/>
      <c r="Y83" s="94"/>
      <c r="Z83" s="81"/>
      <c r="AA83" s="104"/>
      <c r="AB83" s="96"/>
      <c r="AC83" s="97"/>
      <c r="AD83" s="98"/>
      <c r="AE83" s="99"/>
      <c r="AF83" s="100"/>
      <c r="AG83" s="101"/>
    </row>
    <row r="84" s="41" customFormat="1" customHeight="1" spans="1:33">
      <c r="A84" s="79"/>
      <c r="B84" s="79"/>
      <c r="C84" s="80"/>
      <c r="D84" s="80"/>
      <c r="E84" s="80"/>
      <c r="F84" s="80"/>
      <c r="G84" s="81"/>
      <c r="H84" s="106"/>
      <c r="I84" s="107"/>
      <c r="J84" s="108"/>
      <c r="K84" s="81"/>
      <c r="L84" s="84"/>
      <c r="M84" s="85"/>
      <c r="N84" s="110"/>
      <c r="O84" s="87"/>
      <c r="P84" s="88"/>
      <c r="Q84" s="89">
        <f t="shared" si="6"/>
        <v>0</v>
      </c>
      <c r="R84" s="89">
        <f t="shared" si="7"/>
        <v>0</v>
      </c>
      <c r="S84" s="89">
        <f t="shared" si="8"/>
        <v>0</v>
      </c>
      <c r="T84" s="90"/>
      <c r="U84" s="91"/>
      <c r="V84" s="91"/>
      <c r="W84" s="92"/>
      <c r="X84" s="93"/>
      <c r="Y84" s="94"/>
      <c r="Z84" s="81"/>
      <c r="AA84" s="104"/>
      <c r="AB84" s="96"/>
      <c r="AC84" s="97"/>
      <c r="AD84" s="98"/>
      <c r="AE84" s="99"/>
      <c r="AF84" s="100"/>
      <c r="AG84" s="101"/>
    </row>
    <row r="85" s="41" customFormat="1" customHeight="1" spans="1:33">
      <c r="A85" s="79"/>
      <c r="B85" s="79"/>
      <c r="C85" s="80"/>
      <c r="D85" s="80"/>
      <c r="E85" s="80"/>
      <c r="F85" s="80"/>
      <c r="G85" s="81"/>
      <c r="H85" s="106"/>
      <c r="I85" s="107"/>
      <c r="J85" s="108"/>
      <c r="K85" s="81"/>
      <c r="L85" s="84"/>
      <c r="M85" s="85"/>
      <c r="N85" s="110"/>
      <c r="O85" s="87"/>
      <c r="P85" s="88"/>
      <c r="Q85" s="89">
        <f t="shared" si="6"/>
        <v>0</v>
      </c>
      <c r="R85" s="89">
        <f t="shared" si="7"/>
        <v>0</v>
      </c>
      <c r="S85" s="89">
        <f t="shared" si="8"/>
        <v>0</v>
      </c>
      <c r="T85" s="90"/>
      <c r="U85" s="91"/>
      <c r="V85" s="91"/>
      <c r="W85" s="92"/>
      <c r="X85" s="93"/>
      <c r="Y85" s="94"/>
      <c r="Z85" s="81"/>
      <c r="AA85" s="104"/>
      <c r="AB85" s="96"/>
      <c r="AC85" s="97"/>
      <c r="AD85" s="98"/>
      <c r="AE85" s="99"/>
      <c r="AF85" s="100"/>
      <c r="AG85" s="101"/>
    </row>
    <row r="86" s="41" customFormat="1" customHeight="1" spans="1:33">
      <c r="A86" s="79"/>
      <c r="B86" s="79"/>
      <c r="C86" s="80"/>
      <c r="D86" s="80"/>
      <c r="E86" s="80"/>
      <c r="F86" s="80"/>
      <c r="G86" s="81"/>
      <c r="H86" s="106"/>
      <c r="I86" s="107"/>
      <c r="J86" s="108"/>
      <c r="K86" s="81"/>
      <c r="L86" s="84"/>
      <c r="M86" s="85"/>
      <c r="N86" s="110"/>
      <c r="O86" s="87"/>
      <c r="P86" s="88"/>
      <c r="Q86" s="89">
        <f t="shared" si="6"/>
        <v>0</v>
      </c>
      <c r="R86" s="89">
        <f t="shared" si="7"/>
        <v>0</v>
      </c>
      <c r="S86" s="89">
        <f t="shared" si="8"/>
        <v>0</v>
      </c>
      <c r="T86" s="90"/>
      <c r="U86" s="91"/>
      <c r="V86" s="91"/>
      <c r="W86" s="92"/>
      <c r="X86" s="93"/>
      <c r="Y86" s="94"/>
      <c r="Z86" s="81"/>
      <c r="AA86" s="104"/>
      <c r="AB86" s="96"/>
      <c r="AC86" s="97"/>
      <c r="AD86" s="98"/>
      <c r="AE86" s="99"/>
      <c r="AF86" s="100"/>
      <c r="AG86" s="101"/>
    </row>
    <row r="87" s="41" customFormat="1" customHeight="1" spans="1:33">
      <c r="A87" s="79"/>
      <c r="B87" s="79"/>
      <c r="C87" s="80"/>
      <c r="D87" s="80"/>
      <c r="E87" s="80"/>
      <c r="F87" s="80"/>
      <c r="G87" s="81"/>
      <c r="H87" s="106"/>
      <c r="I87" s="107"/>
      <c r="J87" s="108"/>
      <c r="K87" s="81"/>
      <c r="L87" s="84"/>
      <c r="M87" s="85"/>
      <c r="N87" s="110"/>
      <c r="O87" s="87"/>
      <c r="P87" s="88"/>
      <c r="Q87" s="89">
        <f t="shared" si="6"/>
        <v>0</v>
      </c>
      <c r="R87" s="89">
        <f t="shared" si="7"/>
        <v>0</v>
      </c>
      <c r="S87" s="89">
        <f t="shared" si="8"/>
        <v>0</v>
      </c>
      <c r="T87" s="90"/>
      <c r="U87" s="91"/>
      <c r="V87" s="91"/>
      <c r="W87" s="92"/>
      <c r="X87" s="93"/>
      <c r="Y87" s="94"/>
      <c r="Z87" s="81"/>
      <c r="AA87" s="104"/>
      <c r="AB87" s="96"/>
      <c r="AC87" s="97"/>
      <c r="AD87" s="98"/>
      <c r="AE87" s="99"/>
      <c r="AF87" s="100"/>
      <c r="AG87" s="101"/>
    </row>
    <row r="88" s="41" customFormat="1" customHeight="1" spans="1:33">
      <c r="A88" s="79"/>
      <c r="B88" s="79"/>
      <c r="C88" s="80"/>
      <c r="D88" s="80"/>
      <c r="E88" s="80"/>
      <c r="F88" s="80"/>
      <c r="G88" s="81"/>
      <c r="H88" s="106"/>
      <c r="I88" s="107"/>
      <c r="J88" s="108"/>
      <c r="K88" s="81"/>
      <c r="L88" s="84"/>
      <c r="M88" s="85"/>
      <c r="N88" s="110"/>
      <c r="O88" s="87"/>
      <c r="P88" s="88"/>
      <c r="Q88" s="89">
        <f t="shared" si="6"/>
        <v>0</v>
      </c>
      <c r="R88" s="89">
        <f t="shared" si="7"/>
        <v>0</v>
      </c>
      <c r="S88" s="89">
        <f t="shared" si="8"/>
        <v>0</v>
      </c>
      <c r="T88" s="90"/>
      <c r="U88" s="91"/>
      <c r="V88" s="91"/>
      <c r="W88" s="92"/>
      <c r="X88" s="93"/>
      <c r="Y88" s="94"/>
      <c r="Z88" s="81"/>
      <c r="AA88" s="104"/>
      <c r="AB88" s="96"/>
      <c r="AC88" s="97"/>
      <c r="AD88" s="98"/>
      <c r="AE88" s="99"/>
      <c r="AF88" s="100"/>
      <c r="AG88" s="101"/>
    </row>
    <row r="89" s="41" customFormat="1" customHeight="1" spans="1:33">
      <c r="A89" s="79"/>
      <c r="B89" s="79"/>
      <c r="C89" s="80"/>
      <c r="D89" s="80"/>
      <c r="E89" s="80"/>
      <c r="F89" s="80"/>
      <c r="G89" s="81"/>
      <c r="H89" s="106"/>
      <c r="I89" s="107"/>
      <c r="J89" s="108"/>
      <c r="K89" s="81"/>
      <c r="L89" s="84"/>
      <c r="M89" s="85"/>
      <c r="N89" s="110"/>
      <c r="O89" s="87"/>
      <c r="P89" s="88"/>
      <c r="Q89" s="89">
        <f t="shared" si="6"/>
        <v>0</v>
      </c>
      <c r="R89" s="89">
        <f t="shared" si="7"/>
        <v>0</v>
      </c>
      <c r="S89" s="89">
        <f t="shared" si="8"/>
        <v>0</v>
      </c>
      <c r="T89" s="90"/>
      <c r="U89" s="91"/>
      <c r="V89" s="91"/>
      <c r="W89" s="92"/>
      <c r="X89" s="93"/>
      <c r="Y89" s="94"/>
      <c r="Z89" s="81"/>
      <c r="AA89" s="104"/>
      <c r="AB89" s="96"/>
      <c r="AC89" s="97"/>
      <c r="AD89" s="98"/>
      <c r="AE89" s="99"/>
      <c r="AF89" s="100"/>
      <c r="AG89" s="101"/>
    </row>
    <row r="90" s="41" customFormat="1" customHeight="1" spans="1:33">
      <c r="A90" s="79"/>
      <c r="B90" s="79"/>
      <c r="C90" s="80"/>
      <c r="D90" s="80"/>
      <c r="E90" s="80"/>
      <c r="F90" s="80"/>
      <c r="G90" s="81"/>
      <c r="H90" s="106"/>
      <c r="I90" s="107"/>
      <c r="J90" s="108"/>
      <c r="K90" s="81"/>
      <c r="L90" s="84"/>
      <c r="M90" s="85"/>
      <c r="N90" s="110"/>
      <c r="O90" s="87"/>
      <c r="P90" s="88"/>
      <c r="Q90" s="89">
        <f t="shared" si="6"/>
        <v>0</v>
      </c>
      <c r="R90" s="89">
        <f t="shared" si="7"/>
        <v>0</v>
      </c>
      <c r="S90" s="89">
        <f t="shared" si="8"/>
        <v>0</v>
      </c>
      <c r="T90" s="90"/>
      <c r="U90" s="91"/>
      <c r="V90" s="91"/>
      <c r="W90" s="92"/>
      <c r="X90" s="93"/>
      <c r="Y90" s="94"/>
      <c r="Z90" s="81"/>
      <c r="AA90" s="104"/>
      <c r="AB90" s="96"/>
      <c r="AC90" s="97"/>
      <c r="AD90" s="98"/>
      <c r="AE90" s="99"/>
      <c r="AF90" s="100"/>
      <c r="AG90" s="101"/>
    </row>
    <row r="91" s="41" customFormat="1" customHeight="1" spans="1:33">
      <c r="A91" s="79"/>
      <c r="B91" s="79"/>
      <c r="C91" s="80"/>
      <c r="D91" s="80"/>
      <c r="E91" s="80"/>
      <c r="F91" s="80"/>
      <c r="G91" s="81"/>
      <c r="H91" s="106"/>
      <c r="I91" s="107"/>
      <c r="J91" s="108"/>
      <c r="K91" s="81"/>
      <c r="L91" s="84"/>
      <c r="M91" s="85"/>
      <c r="N91" s="110"/>
      <c r="O91" s="87"/>
      <c r="P91" s="88"/>
      <c r="Q91" s="89">
        <f t="shared" si="6"/>
        <v>0</v>
      </c>
      <c r="R91" s="89">
        <f t="shared" si="7"/>
        <v>0</v>
      </c>
      <c r="S91" s="89">
        <f t="shared" si="8"/>
        <v>0</v>
      </c>
      <c r="T91" s="90"/>
      <c r="U91" s="91"/>
      <c r="V91" s="91"/>
      <c r="W91" s="92"/>
      <c r="X91" s="93"/>
      <c r="Y91" s="94"/>
      <c r="Z91" s="81"/>
      <c r="AA91" s="104"/>
      <c r="AB91" s="96"/>
      <c r="AC91" s="97"/>
      <c r="AD91" s="98"/>
      <c r="AE91" s="99"/>
      <c r="AF91" s="100"/>
      <c r="AG91" s="101"/>
    </row>
    <row r="92" s="41" customFormat="1" customHeight="1" spans="1:33">
      <c r="A92" s="79"/>
      <c r="B92" s="79"/>
      <c r="C92" s="80"/>
      <c r="D92" s="80"/>
      <c r="E92" s="80"/>
      <c r="F92" s="80"/>
      <c r="G92" s="81"/>
      <c r="H92" s="106"/>
      <c r="I92" s="107"/>
      <c r="J92" s="108"/>
      <c r="K92" s="81"/>
      <c r="L92" s="84"/>
      <c r="M92" s="85"/>
      <c r="N92" s="110"/>
      <c r="O92" s="87"/>
      <c r="P92" s="88"/>
      <c r="Q92" s="89">
        <f t="shared" si="6"/>
        <v>0</v>
      </c>
      <c r="R92" s="89">
        <f t="shared" si="7"/>
        <v>0</v>
      </c>
      <c r="S92" s="89">
        <f t="shared" si="8"/>
        <v>0</v>
      </c>
      <c r="T92" s="90"/>
      <c r="U92" s="91"/>
      <c r="V92" s="91"/>
      <c r="W92" s="92"/>
      <c r="X92" s="93"/>
      <c r="Y92" s="94"/>
      <c r="Z92" s="81"/>
      <c r="AA92" s="104"/>
      <c r="AB92" s="96"/>
      <c r="AC92" s="97"/>
      <c r="AD92" s="98"/>
      <c r="AE92" s="99"/>
      <c r="AF92" s="100"/>
      <c r="AG92" s="101"/>
    </row>
    <row r="93" s="41" customFormat="1" customHeight="1" spans="1:33">
      <c r="A93" s="79"/>
      <c r="B93" s="79"/>
      <c r="C93" s="80"/>
      <c r="D93" s="80"/>
      <c r="E93" s="80"/>
      <c r="F93" s="80"/>
      <c r="G93" s="81"/>
      <c r="H93" s="106"/>
      <c r="I93" s="107"/>
      <c r="J93" s="108"/>
      <c r="K93" s="81"/>
      <c r="L93" s="84"/>
      <c r="M93" s="85"/>
      <c r="N93" s="110"/>
      <c r="O93" s="87"/>
      <c r="P93" s="88"/>
      <c r="Q93" s="89">
        <f t="shared" si="6"/>
        <v>0</v>
      </c>
      <c r="R93" s="89">
        <f t="shared" si="7"/>
        <v>0</v>
      </c>
      <c r="S93" s="89">
        <f t="shared" si="8"/>
        <v>0</v>
      </c>
      <c r="T93" s="90"/>
      <c r="U93" s="91"/>
      <c r="V93" s="91"/>
      <c r="W93" s="92"/>
      <c r="X93" s="93"/>
      <c r="Y93" s="94"/>
      <c r="Z93" s="81"/>
      <c r="AA93" s="104"/>
      <c r="AB93" s="96"/>
      <c r="AC93" s="97"/>
      <c r="AD93" s="98"/>
      <c r="AE93" s="99"/>
      <c r="AF93" s="100"/>
      <c r="AG93" s="101"/>
    </row>
    <row r="94" s="41" customFormat="1" customHeight="1" spans="1:33">
      <c r="A94" s="79"/>
      <c r="B94" s="79"/>
      <c r="C94" s="80"/>
      <c r="D94" s="80"/>
      <c r="E94" s="80"/>
      <c r="F94" s="80"/>
      <c r="G94" s="81"/>
      <c r="H94" s="106"/>
      <c r="I94" s="107"/>
      <c r="J94" s="108"/>
      <c r="K94" s="81"/>
      <c r="L94" s="84"/>
      <c r="M94" s="85"/>
      <c r="N94" s="110"/>
      <c r="O94" s="87"/>
      <c r="P94" s="88"/>
      <c r="Q94" s="89">
        <f t="shared" si="6"/>
        <v>0</v>
      </c>
      <c r="R94" s="89">
        <f t="shared" si="7"/>
        <v>0</v>
      </c>
      <c r="S94" s="89">
        <f t="shared" si="8"/>
        <v>0</v>
      </c>
      <c r="T94" s="90"/>
      <c r="U94" s="91"/>
      <c r="V94" s="91"/>
      <c r="W94" s="92"/>
      <c r="X94" s="93"/>
      <c r="Y94" s="94"/>
      <c r="Z94" s="81"/>
      <c r="AA94" s="104"/>
      <c r="AB94" s="96"/>
      <c r="AC94" s="97"/>
      <c r="AD94" s="98"/>
      <c r="AE94" s="99"/>
      <c r="AF94" s="100"/>
      <c r="AG94" s="101"/>
    </row>
    <row r="95" s="41" customFormat="1" customHeight="1" spans="1:33">
      <c r="A95" s="79"/>
      <c r="B95" s="79"/>
      <c r="C95" s="80"/>
      <c r="D95" s="80"/>
      <c r="E95" s="80"/>
      <c r="F95" s="80"/>
      <c r="G95" s="81"/>
      <c r="H95" s="106"/>
      <c r="I95" s="107"/>
      <c r="J95" s="108"/>
      <c r="K95" s="81"/>
      <c r="L95" s="84"/>
      <c r="M95" s="85"/>
      <c r="N95" s="110"/>
      <c r="O95" s="87"/>
      <c r="P95" s="88"/>
      <c r="Q95" s="89">
        <f t="shared" si="6"/>
        <v>0</v>
      </c>
      <c r="R95" s="89">
        <f t="shared" si="7"/>
        <v>0</v>
      </c>
      <c r="S95" s="89">
        <f t="shared" si="8"/>
        <v>0</v>
      </c>
      <c r="T95" s="90"/>
      <c r="U95" s="91"/>
      <c r="V95" s="91"/>
      <c r="W95" s="92"/>
      <c r="X95" s="93"/>
      <c r="Y95" s="94"/>
      <c r="Z95" s="81"/>
      <c r="AA95" s="104"/>
      <c r="AB95" s="96"/>
      <c r="AC95" s="97"/>
      <c r="AD95" s="98"/>
      <c r="AE95" s="99"/>
      <c r="AF95" s="100"/>
      <c r="AG95" s="101"/>
    </row>
    <row r="96" s="41" customFormat="1" customHeight="1" spans="1:33">
      <c r="A96" s="79"/>
      <c r="B96" s="79"/>
      <c r="C96" s="80"/>
      <c r="D96" s="80"/>
      <c r="E96" s="80"/>
      <c r="F96" s="80"/>
      <c r="G96" s="81"/>
      <c r="H96" s="106"/>
      <c r="I96" s="107"/>
      <c r="J96" s="108"/>
      <c r="K96" s="81"/>
      <c r="L96" s="84"/>
      <c r="M96" s="85"/>
      <c r="N96" s="110"/>
      <c r="O96" s="87"/>
      <c r="P96" s="88"/>
      <c r="Q96" s="89">
        <f t="shared" si="6"/>
        <v>0</v>
      </c>
      <c r="R96" s="89">
        <f t="shared" si="7"/>
        <v>0</v>
      </c>
      <c r="S96" s="89">
        <f t="shared" si="8"/>
        <v>0</v>
      </c>
      <c r="T96" s="90"/>
      <c r="U96" s="91"/>
      <c r="V96" s="91"/>
      <c r="W96" s="92"/>
      <c r="X96" s="93"/>
      <c r="Y96" s="94"/>
      <c r="Z96" s="81"/>
      <c r="AA96" s="104"/>
      <c r="AB96" s="96"/>
      <c r="AC96" s="97"/>
      <c r="AD96" s="98"/>
      <c r="AE96" s="99"/>
      <c r="AF96" s="100"/>
      <c r="AG96" s="101"/>
    </row>
    <row r="97" s="41" customFormat="1" customHeight="1" spans="1:33">
      <c r="A97" s="79"/>
      <c r="B97" s="79"/>
      <c r="C97" s="80"/>
      <c r="D97" s="80"/>
      <c r="E97" s="80"/>
      <c r="F97" s="80"/>
      <c r="G97" s="81"/>
      <c r="H97" s="106"/>
      <c r="I97" s="107"/>
      <c r="J97" s="108"/>
      <c r="K97" s="81"/>
      <c r="L97" s="84"/>
      <c r="M97" s="85"/>
      <c r="N97" s="110"/>
      <c r="O97" s="87"/>
      <c r="P97" s="88"/>
      <c r="Q97" s="89">
        <f t="shared" si="6"/>
        <v>0</v>
      </c>
      <c r="R97" s="89">
        <f t="shared" si="7"/>
        <v>0</v>
      </c>
      <c r="S97" s="89">
        <f t="shared" si="8"/>
        <v>0</v>
      </c>
      <c r="T97" s="90"/>
      <c r="U97" s="91"/>
      <c r="V97" s="91"/>
      <c r="W97" s="92"/>
      <c r="X97" s="93"/>
      <c r="Y97" s="94"/>
      <c r="Z97" s="81"/>
      <c r="AA97" s="104"/>
      <c r="AB97" s="96"/>
      <c r="AC97" s="97"/>
      <c r="AD97" s="98"/>
      <c r="AE97" s="99"/>
      <c r="AF97" s="100"/>
      <c r="AG97" s="101"/>
    </row>
    <row r="98" s="41" customFormat="1" customHeight="1" spans="1:33">
      <c r="A98" s="79"/>
      <c r="B98" s="79"/>
      <c r="C98" s="80"/>
      <c r="D98" s="80"/>
      <c r="E98" s="80"/>
      <c r="F98" s="80"/>
      <c r="G98" s="81"/>
      <c r="H98" s="106"/>
      <c r="I98" s="107"/>
      <c r="J98" s="108"/>
      <c r="K98" s="81"/>
      <c r="L98" s="84"/>
      <c r="M98" s="85"/>
      <c r="N98" s="110"/>
      <c r="O98" s="87"/>
      <c r="P98" s="88"/>
      <c r="Q98" s="89">
        <f t="shared" si="6"/>
        <v>0</v>
      </c>
      <c r="R98" s="89">
        <f t="shared" si="7"/>
        <v>0</v>
      </c>
      <c r="S98" s="89">
        <f t="shared" si="8"/>
        <v>0</v>
      </c>
      <c r="T98" s="90"/>
      <c r="U98" s="91"/>
      <c r="V98" s="91"/>
      <c r="W98" s="92"/>
      <c r="X98" s="93"/>
      <c r="Y98" s="94"/>
      <c r="Z98" s="81"/>
      <c r="AA98" s="104"/>
      <c r="AB98" s="96"/>
      <c r="AC98" s="97"/>
      <c r="AD98" s="98"/>
      <c r="AE98" s="99"/>
      <c r="AF98" s="100"/>
      <c r="AG98" s="101"/>
    </row>
    <row r="99" s="41" customFormat="1" customHeight="1" spans="1:33">
      <c r="A99" s="79"/>
      <c r="B99" s="79"/>
      <c r="C99" s="80"/>
      <c r="D99" s="80"/>
      <c r="E99" s="80"/>
      <c r="F99" s="80"/>
      <c r="G99" s="81"/>
      <c r="H99" s="106"/>
      <c r="I99" s="107"/>
      <c r="J99" s="108"/>
      <c r="K99" s="81"/>
      <c r="L99" s="84"/>
      <c r="M99" s="85"/>
      <c r="N99" s="110"/>
      <c r="O99" s="87"/>
      <c r="P99" s="88"/>
      <c r="Q99" s="89">
        <f t="shared" ref="Q99:Q130" si="9">O99*N99+P99</f>
        <v>0</v>
      </c>
      <c r="R99" s="89">
        <f t="shared" ref="R99:R130" si="10">Q99*0.2</f>
        <v>0</v>
      </c>
      <c r="S99" s="89">
        <f t="shared" ref="S99:S130" si="11">R99+Q99</f>
        <v>0</v>
      </c>
      <c r="T99" s="90"/>
      <c r="U99" s="91"/>
      <c r="V99" s="91"/>
      <c r="W99" s="92"/>
      <c r="X99" s="93"/>
      <c r="Y99" s="94"/>
      <c r="Z99" s="81"/>
      <c r="AA99" s="104"/>
      <c r="AB99" s="96"/>
      <c r="AC99" s="97"/>
      <c r="AD99" s="98"/>
      <c r="AE99" s="99"/>
      <c r="AF99" s="100"/>
      <c r="AG99" s="101"/>
    </row>
    <row r="100" s="41" customFormat="1" customHeight="1" spans="1:33">
      <c r="A100" s="79"/>
      <c r="B100" s="79"/>
      <c r="C100" s="80"/>
      <c r="D100" s="80"/>
      <c r="E100" s="80"/>
      <c r="F100" s="80"/>
      <c r="G100" s="81"/>
      <c r="H100" s="106"/>
      <c r="I100" s="107"/>
      <c r="J100" s="108"/>
      <c r="K100" s="81"/>
      <c r="L100" s="84"/>
      <c r="M100" s="85"/>
      <c r="N100" s="110"/>
      <c r="O100" s="87"/>
      <c r="P100" s="88"/>
      <c r="Q100" s="89">
        <f t="shared" si="9"/>
        <v>0</v>
      </c>
      <c r="R100" s="89">
        <f t="shared" si="10"/>
        <v>0</v>
      </c>
      <c r="S100" s="89">
        <f t="shared" si="11"/>
        <v>0</v>
      </c>
      <c r="T100" s="90"/>
      <c r="U100" s="91"/>
      <c r="V100" s="91"/>
      <c r="W100" s="92"/>
      <c r="X100" s="93"/>
      <c r="Y100" s="94"/>
      <c r="Z100" s="81"/>
      <c r="AA100" s="104"/>
      <c r="AB100" s="96"/>
      <c r="AC100" s="97"/>
      <c r="AD100" s="98"/>
      <c r="AE100" s="99"/>
      <c r="AF100" s="100"/>
      <c r="AG100" s="101"/>
    </row>
    <row r="101" s="41" customFormat="1" customHeight="1" spans="1:33">
      <c r="A101" s="79"/>
      <c r="B101" s="79"/>
      <c r="C101" s="80"/>
      <c r="D101" s="80"/>
      <c r="E101" s="80"/>
      <c r="F101" s="80"/>
      <c r="G101" s="81"/>
      <c r="H101" s="106"/>
      <c r="I101" s="107"/>
      <c r="J101" s="108"/>
      <c r="K101" s="81"/>
      <c r="L101" s="84"/>
      <c r="M101" s="85"/>
      <c r="N101" s="110"/>
      <c r="O101" s="87"/>
      <c r="P101" s="88"/>
      <c r="Q101" s="89">
        <f t="shared" si="9"/>
        <v>0</v>
      </c>
      <c r="R101" s="89">
        <f t="shared" si="10"/>
        <v>0</v>
      </c>
      <c r="S101" s="89">
        <f t="shared" si="11"/>
        <v>0</v>
      </c>
      <c r="T101" s="90"/>
      <c r="U101" s="91"/>
      <c r="V101" s="91"/>
      <c r="W101" s="92"/>
      <c r="X101" s="93"/>
      <c r="Y101" s="94"/>
      <c r="Z101" s="81"/>
      <c r="AA101" s="104"/>
      <c r="AB101" s="96"/>
      <c r="AC101" s="97"/>
      <c r="AD101" s="98"/>
      <c r="AE101" s="99"/>
      <c r="AF101" s="100"/>
      <c r="AG101" s="101"/>
    </row>
    <row r="102" s="41" customFormat="1" customHeight="1" spans="1:33">
      <c r="A102" s="79"/>
      <c r="B102" s="79"/>
      <c r="C102" s="80"/>
      <c r="D102" s="80"/>
      <c r="E102" s="80"/>
      <c r="F102" s="80"/>
      <c r="G102" s="81"/>
      <c r="H102" s="106"/>
      <c r="I102" s="107"/>
      <c r="J102" s="108"/>
      <c r="K102" s="81"/>
      <c r="L102" s="84"/>
      <c r="M102" s="85"/>
      <c r="N102" s="110"/>
      <c r="O102" s="87"/>
      <c r="P102" s="88"/>
      <c r="Q102" s="89">
        <f t="shared" si="9"/>
        <v>0</v>
      </c>
      <c r="R102" s="89">
        <f t="shared" si="10"/>
        <v>0</v>
      </c>
      <c r="S102" s="89">
        <f t="shared" si="11"/>
        <v>0</v>
      </c>
      <c r="T102" s="90"/>
      <c r="U102" s="91"/>
      <c r="V102" s="91"/>
      <c r="W102" s="92"/>
      <c r="X102" s="93"/>
      <c r="Y102" s="94"/>
      <c r="Z102" s="81"/>
      <c r="AA102" s="104"/>
      <c r="AB102" s="96"/>
      <c r="AC102" s="97"/>
      <c r="AD102" s="98"/>
      <c r="AE102" s="99"/>
      <c r="AF102" s="100"/>
      <c r="AG102" s="101"/>
    </row>
    <row r="103" s="41" customFormat="1" customHeight="1" spans="1:33">
      <c r="A103" s="79"/>
      <c r="B103" s="79"/>
      <c r="C103" s="80"/>
      <c r="D103" s="80"/>
      <c r="E103" s="80"/>
      <c r="F103" s="80"/>
      <c r="G103" s="81"/>
      <c r="H103" s="106"/>
      <c r="I103" s="107"/>
      <c r="J103" s="108"/>
      <c r="K103" s="81"/>
      <c r="L103" s="84"/>
      <c r="M103" s="85"/>
      <c r="N103" s="110"/>
      <c r="O103" s="87"/>
      <c r="P103" s="88"/>
      <c r="Q103" s="89">
        <f t="shared" si="9"/>
        <v>0</v>
      </c>
      <c r="R103" s="89">
        <f t="shared" si="10"/>
        <v>0</v>
      </c>
      <c r="S103" s="89">
        <f t="shared" si="11"/>
        <v>0</v>
      </c>
      <c r="T103" s="90"/>
      <c r="U103" s="91"/>
      <c r="V103" s="91"/>
      <c r="W103" s="92"/>
      <c r="X103" s="93"/>
      <c r="Y103" s="94"/>
      <c r="Z103" s="81"/>
      <c r="AA103" s="104"/>
      <c r="AB103" s="96"/>
      <c r="AC103" s="97"/>
      <c r="AD103" s="98"/>
      <c r="AE103" s="99"/>
      <c r="AF103" s="100"/>
      <c r="AG103" s="101"/>
    </row>
    <row r="104" s="41" customFormat="1" customHeight="1" spans="1:33">
      <c r="A104" s="79"/>
      <c r="B104" s="79"/>
      <c r="C104" s="80"/>
      <c r="D104" s="80"/>
      <c r="E104" s="80"/>
      <c r="F104" s="80"/>
      <c r="G104" s="81"/>
      <c r="H104" s="106"/>
      <c r="I104" s="107"/>
      <c r="J104" s="108"/>
      <c r="K104" s="81"/>
      <c r="L104" s="84"/>
      <c r="M104" s="85"/>
      <c r="N104" s="110"/>
      <c r="O104" s="87"/>
      <c r="P104" s="88"/>
      <c r="Q104" s="89">
        <f t="shared" si="9"/>
        <v>0</v>
      </c>
      <c r="R104" s="89">
        <f t="shared" si="10"/>
        <v>0</v>
      </c>
      <c r="S104" s="89">
        <f t="shared" si="11"/>
        <v>0</v>
      </c>
      <c r="T104" s="90"/>
      <c r="U104" s="91"/>
      <c r="V104" s="91"/>
      <c r="W104" s="92"/>
      <c r="X104" s="93"/>
      <c r="Y104" s="94"/>
      <c r="Z104" s="81"/>
      <c r="AA104" s="104"/>
      <c r="AB104" s="96"/>
      <c r="AC104" s="97"/>
      <c r="AD104" s="98"/>
      <c r="AE104" s="99"/>
      <c r="AF104" s="100"/>
      <c r="AG104" s="101"/>
    </row>
    <row r="105" s="41" customFormat="1" customHeight="1" spans="1:33">
      <c r="A105" s="79"/>
      <c r="B105" s="79"/>
      <c r="C105" s="80"/>
      <c r="D105" s="80"/>
      <c r="E105" s="80"/>
      <c r="F105" s="80"/>
      <c r="G105" s="81"/>
      <c r="H105" s="106"/>
      <c r="I105" s="107"/>
      <c r="J105" s="108"/>
      <c r="K105" s="81"/>
      <c r="L105" s="84"/>
      <c r="M105" s="85"/>
      <c r="N105" s="110"/>
      <c r="O105" s="87"/>
      <c r="P105" s="88"/>
      <c r="Q105" s="89">
        <f t="shared" si="9"/>
        <v>0</v>
      </c>
      <c r="R105" s="89">
        <f t="shared" si="10"/>
        <v>0</v>
      </c>
      <c r="S105" s="89">
        <f t="shared" si="11"/>
        <v>0</v>
      </c>
      <c r="T105" s="90"/>
      <c r="U105" s="91"/>
      <c r="V105" s="91"/>
      <c r="W105" s="92"/>
      <c r="X105" s="93"/>
      <c r="Y105" s="94"/>
      <c r="Z105" s="81"/>
      <c r="AA105" s="104"/>
      <c r="AB105" s="96"/>
      <c r="AC105" s="97"/>
      <c r="AD105" s="98"/>
      <c r="AE105" s="99"/>
      <c r="AF105" s="100"/>
      <c r="AG105" s="101"/>
    </row>
    <row r="106" s="41" customFormat="1" customHeight="1" spans="1:33">
      <c r="A106" s="79"/>
      <c r="B106" s="79"/>
      <c r="C106" s="80"/>
      <c r="D106" s="80"/>
      <c r="E106" s="80"/>
      <c r="F106" s="80"/>
      <c r="G106" s="81"/>
      <c r="H106" s="106"/>
      <c r="I106" s="107"/>
      <c r="J106" s="108"/>
      <c r="K106" s="81"/>
      <c r="L106" s="84"/>
      <c r="M106" s="85"/>
      <c r="N106" s="110"/>
      <c r="O106" s="87"/>
      <c r="P106" s="88"/>
      <c r="Q106" s="89">
        <f t="shared" si="9"/>
        <v>0</v>
      </c>
      <c r="R106" s="89">
        <f t="shared" si="10"/>
        <v>0</v>
      </c>
      <c r="S106" s="89">
        <f t="shared" si="11"/>
        <v>0</v>
      </c>
      <c r="T106" s="90"/>
      <c r="U106" s="91"/>
      <c r="V106" s="91"/>
      <c r="W106" s="92"/>
      <c r="X106" s="93"/>
      <c r="Y106" s="94"/>
      <c r="Z106" s="81"/>
      <c r="AA106" s="104"/>
      <c r="AB106" s="96"/>
      <c r="AC106" s="97"/>
      <c r="AD106" s="98"/>
      <c r="AE106" s="99"/>
      <c r="AF106" s="100"/>
      <c r="AG106" s="101"/>
    </row>
    <row r="107" s="41" customFormat="1" customHeight="1" spans="1:33">
      <c r="A107" s="79"/>
      <c r="B107" s="79"/>
      <c r="C107" s="80"/>
      <c r="D107" s="80"/>
      <c r="E107" s="80"/>
      <c r="F107" s="80"/>
      <c r="G107" s="81"/>
      <c r="H107" s="106"/>
      <c r="I107" s="107"/>
      <c r="J107" s="108"/>
      <c r="K107" s="81"/>
      <c r="L107" s="84"/>
      <c r="M107" s="85"/>
      <c r="N107" s="110"/>
      <c r="O107" s="87"/>
      <c r="P107" s="88"/>
      <c r="Q107" s="89">
        <f t="shared" si="9"/>
        <v>0</v>
      </c>
      <c r="R107" s="89">
        <f t="shared" si="10"/>
        <v>0</v>
      </c>
      <c r="S107" s="89">
        <f t="shared" si="11"/>
        <v>0</v>
      </c>
      <c r="T107" s="90"/>
      <c r="U107" s="91"/>
      <c r="V107" s="91"/>
      <c r="W107" s="92"/>
      <c r="X107" s="93"/>
      <c r="Y107" s="94"/>
      <c r="Z107" s="81"/>
      <c r="AA107" s="104"/>
      <c r="AB107" s="96"/>
      <c r="AC107" s="97"/>
      <c r="AD107" s="98"/>
      <c r="AE107" s="99"/>
      <c r="AF107" s="100"/>
      <c r="AG107" s="101"/>
    </row>
    <row r="108" s="41" customFormat="1" customHeight="1" spans="1:33">
      <c r="A108" s="79"/>
      <c r="B108" s="79"/>
      <c r="C108" s="80"/>
      <c r="D108" s="80"/>
      <c r="E108" s="80"/>
      <c r="F108" s="80"/>
      <c r="G108" s="81"/>
      <c r="H108" s="106"/>
      <c r="I108" s="107"/>
      <c r="J108" s="108"/>
      <c r="K108" s="81"/>
      <c r="L108" s="84"/>
      <c r="M108" s="85"/>
      <c r="N108" s="110"/>
      <c r="O108" s="87"/>
      <c r="P108" s="88"/>
      <c r="Q108" s="89">
        <f t="shared" si="9"/>
        <v>0</v>
      </c>
      <c r="R108" s="89">
        <f t="shared" si="10"/>
        <v>0</v>
      </c>
      <c r="S108" s="89">
        <f t="shared" si="11"/>
        <v>0</v>
      </c>
      <c r="T108" s="90"/>
      <c r="U108" s="91"/>
      <c r="V108" s="91"/>
      <c r="W108" s="92"/>
      <c r="X108" s="93"/>
      <c r="Y108" s="94"/>
      <c r="Z108" s="81"/>
      <c r="AA108" s="104"/>
      <c r="AB108" s="96"/>
      <c r="AC108" s="97"/>
      <c r="AD108" s="98"/>
      <c r="AE108" s="99"/>
      <c r="AF108" s="100"/>
      <c r="AG108" s="101"/>
    </row>
    <row r="109" s="41" customFormat="1" customHeight="1" spans="1:33">
      <c r="A109" s="79"/>
      <c r="B109" s="79"/>
      <c r="C109" s="80"/>
      <c r="D109" s="80"/>
      <c r="E109" s="80"/>
      <c r="F109" s="80"/>
      <c r="G109" s="81"/>
      <c r="H109" s="106"/>
      <c r="I109" s="107"/>
      <c r="J109" s="108"/>
      <c r="K109" s="81"/>
      <c r="L109" s="84"/>
      <c r="M109" s="85"/>
      <c r="N109" s="110"/>
      <c r="O109" s="87"/>
      <c r="P109" s="88"/>
      <c r="Q109" s="89">
        <f t="shared" si="9"/>
        <v>0</v>
      </c>
      <c r="R109" s="89">
        <f t="shared" si="10"/>
        <v>0</v>
      </c>
      <c r="S109" s="89">
        <f t="shared" si="11"/>
        <v>0</v>
      </c>
      <c r="T109" s="90"/>
      <c r="U109" s="91"/>
      <c r="V109" s="91"/>
      <c r="W109" s="92"/>
      <c r="X109" s="93"/>
      <c r="Y109" s="94"/>
      <c r="Z109" s="81"/>
      <c r="AA109" s="104"/>
      <c r="AB109" s="96"/>
      <c r="AC109" s="97"/>
      <c r="AD109" s="98"/>
      <c r="AE109" s="99"/>
      <c r="AF109" s="100"/>
      <c r="AG109" s="101"/>
    </row>
    <row r="110" s="41" customFormat="1" customHeight="1" spans="1:33">
      <c r="A110" s="79"/>
      <c r="B110" s="79"/>
      <c r="C110" s="80"/>
      <c r="D110" s="80"/>
      <c r="E110" s="80"/>
      <c r="F110" s="80"/>
      <c r="G110" s="81"/>
      <c r="H110" s="106"/>
      <c r="I110" s="107"/>
      <c r="J110" s="108"/>
      <c r="K110" s="81"/>
      <c r="L110" s="84"/>
      <c r="M110" s="85"/>
      <c r="N110" s="110"/>
      <c r="O110" s="87"/>
      <c r="P110" s="88"/>
      <c r="Q110" s="89">
        <f t="shared" si="9"/>
        <v>0</v>
      </c>
      <c r="R110" s="89">
        <f t="shared" si="10"/>
        <v>0</v>
      </c>
      <c r="S110" s="89">
        <f t="shared" si="11"/>
        <v>0</v>
      </c>
      <c r="T110" s="90"/>
      <c r="U110" s="91"/>
      <c r="V110" s="91"/>
      <c r="W110" s="92"/>
      <c r="X110" s="93"/>
      <c r="Y110" s="94"/>
      <c r="Z110" s="81"/>
      <c r="AA110" s="104"/>
      <c r="AB110" s="96"/>
      <c r="AC110" s="97"/>
      <c r="AD110" s="98"/>
      <c r="AE110" s="99"/>
      <c r="AF110" s="100"/>
      <c r="AG110" s="101"/>
    </row>
    <row r="111" s="41" customFormat="1" customHeight="1" spans="1:33">
      <c r="A111" s="79"/>
      <c r="B111" s="79"/>
      <c r="C111" s="80"/>
      <c r="D111" s="80"/>
      <c r="E111" s="80"/>
      <c r="F111" s="80"/>
      <c r="G111" s="81"/>
      <c r="H111" s="106"/>
      <c r="I111" s="107"/>
      <c r="J111" s="108"/>
      <c r="K111" s="81"/>
      <c r="L111" s="84"/>
      <c r="M111" s="85"/>
      <c r="N111" s="110"/>
      <c r="O111" s="87"/>
      <c r="P111" s="88"/>
      <c r="Q111" s="89">
        <f t="shared" si="9"/>
        <v>0</v>
      </c>
      <c r="R111" s="89">
        <f t="shared" si="10"/>
        <v>0</v>
      </c>
      <c r="S111" s="89">
        <f t="shared" si="11"/>
        <v>0</v>
      </c>
      <c r="T111" s="90"/>
      <c r="U111" s="91"/>
      <c r="V111" s="91"/>
      <c r="W111" s="92"/>
      <c r="X111" s="93"/>
      <c r="Y111" s="94"/>
      <c r="Z111" s="81"/>
      <c r="AA111" s="104"/>
      <c r="AB111" s="96"/>
      <c r="AC111" s="97"/>
      <c r="AD111" s="98"/>
      <c r="AE111" s="99"/>
      <c r="AF111" s="100"/>
      <c r="AG111" s="101"/>
    </row>
    <row r="112" s="41" customFormat="1" customHeight="1" spans="1:33">
      <c r="A112" s="79"/>
      <c r="B112" s="79"/>
      <c r="C112" s="80"/>
      <c r="D112" s="80"/>
      <c r="E112" s="80"/>
      <c r="F112" s="80"/>
      <c r="G112" s="81"/>
      <c r="H112" s="106"/>
      <c r="I112" s="107"/>
      <c r="J112" s="108"/>
      <c r="K112" s="81"/>
      <c r="L112" s="84"/>
      <c r="M112" s="85"/>
      <c r="N112" s="110"/>
      <c r="O112" s="87"/>
      <c r="P112" s="88"/>
      <c r="Q112" s="89">
        <f t="shared" si="9"/>
        <v>0</v>
      </c>
      <c r="R112" s="89">
        <f t="shared" si="10"/>
        <v>0</v>
      </c>
      <c r="S112" s="89">
        <f t="shared" si="11"/>
        <v>0</v>
      </c>
      <c r="T112" s="90"/>
      <c r="U112" s="91"/>
      <c r="V112" s="91"/>
      <c r="W112" s="92"/>
      <c r="X112" s="93"/>
      <c r="Y112" s="94"/>
      <c r="Z112" s="81"/>
      <c r="AA112" s="104"/>
      <c r="AB112" s="96"/>
      <c r="AC112" s="97"/>
      <c r="AD112" s="98"/>
      <c r="AE112" s="99"/>
      <c r="AF112" s="100"/>
      <c r="AG112" s="101"/>
    </row>
    <row r="113" s="41" customFormat="1" customHeight="1" spans="1:33">
      <c r="A113" s="79"/>
      <c r="B113" s="79"/>
      <c r="C113" s="80"/>
      <c r="D113" s="80"/>
      <c r="E113" s="80"/>
      <c r="F113" s="80"/>
      <c r="G113" s="81"/>
      <c r="H113" s="106"/>
      <c r="I113" s="107"/>
      <c r="J113" s="108"/>
      <c r="K113" s="81"/>
      <c r="L113" s="84"/>
      <c r="M113" s="85"/>
      <c r="N113" s="110"/>
      <c r="O113" s="87"/>
      <c r="P113" s="88"/>
      <c r="Q113" s="89">
        <f t="shared" si="9"/>
        <v>0</v>
      </c>
      <c r="R113" s="89">
        <f t="shared" si="10"/>
        <v>0</v>
      </c>
      <c r="S113" s="89">
        <f t="shared" si="11"/>
        <v>0</v>
      </c>
      <c r="T113" s="90"/>
      <c r="U113" s="91"/>
      <c r="V113" s="91"/>
      <c r="W113" s="92"/>
      <c r="X113" s="93"/>
      <c r="Y113" s="94"/>
      <c r="Z113" s="81"/>
      <c r="AA113" s="104"/>
      <c r="AB113" s="96"/>
      <c r="AC113" s="97"/>
      <c r="AD113" s="98"/>
      <c r="AE113" s="99"/>
      <c r="AF113" s="100"/>
      <c r="AG113" s="101"/>
    </row>
    <row r="114" s="41" customFormat="1" customHeight="1" spans="1:33">
      <c r="A114" s="79"/>
      <c r="B114" s="79"/>
      <c r="C114" s="80"/>
      <c r="D114" s="80"/>
      <c r="E114" s="80"/>
      <c r="F114" s="80"/>
      <c r="G114" s="81"/>
      <c r="H114" s="106"/>
      <c r="I114" s="107"/>
      <c r="J114" s="108"/>
      <c r="K114" s="81"/>
      <c r="L114" s="84"/>
      <c r="M114" s="85"/>
      <c r="N114" s="110"/>
      <c r="O114" s="87"/>
      <c r="P114" s="88"/>
      <c r="Q114" s="89">
        <f t="shared" si="9"/>
        <v>0</v>
      </c>
      <c r="R114" s="89">
        <f t="shared" si="10"/>
        <v>0</v>
      </c>
      <c r="S114" s="89">
        <f t="shared" si="11"/>
        <v>0</v>
      </c>
      <c r="T114" s="90"/>
      <c r="U114" s="91"/>
      <c r="V114" s="91"/>
      <c r="W114" s="92"/>
      <c r="X114" s="93"/>
      <c r="Y114" s="94"/>
      <c r="Z114" s="81"/>
      <c r="AA114" s="104"/>
      <c r="AB114" s="96"/>
      <c r="AC114" s="97"/>
      <c r="AD114" s="98"/>
      <c r="AE114" s="99"/>
      <c r="AF114" s="100"/>
      <c r="AG114" s="101"/>
    </row>
    <row r="115" s="41" customFormat="1" customHeight="1" spans="1:33">
      <c r="A115" s="79"/>
      <c r="B115" s="79"/>
      <c r="C115" s="80"/>
      <c r="D115" s="80"/>
      <c r="E115" s="80"/>
      <c r="F115" s="80"/>
      <c r="G115" s="81"/>
      <c r="H115" s="106"/>
      <c r="I115" s="107"/>
      <c r="J115" s="108"/>
      <c r="K115" s="81"/>
      <c r="L115" s="84"/>
      <c r="M115" s="85"/>
      <c r="N115" s="110"/>
      <c r="O115" s="87"/>
      <c r="P115" s="88"/>
      <c r="Q115" s="89">
        <f t="shared" si="9"/>
        <v>0</v>
      </c>
      <c r="R115" s="89">
        <f t="shared" si="10"/>
        <v>0</v>
      </c>
      <c r="S115" s="89">
        <f t="shared" si="11"/>
        <v>0</v>
      </c>
      <c r="T115" s="90"/>
      <c r="U115" s="91"/>
      <c r="V115" s="91"/>
      <c r="W115" s="92"/>
      <c r="X115" s="93"/>
      <c r="Y115" s="94"/>
      <c r="Z115" s="81"/>
      <c r="AA115" s="104"/>
      <c r="AB115" s="96"/>
      <c r="AC115" s="97"/>
      <c r="AD115" s="98"/>
      <c r="AE115" s="99"/>
      <c r="AF115" s="100"/>
      <c r="AG115" s="101"/>
    </row>
    <row r="116" s="41" customFormat="1" customHeight="1" spans="1:33">
      <c r="A116" s="79"/>
      <c r="B116" s="79"/>
      <c r="C116" s="80"/>
      <c r="D116" s="80"/>
      <c r="E116" s="80"/>
      <c r="F116" s="80"/>
      <c r="G116" s="81"/>
      <c r="H116" s="106"/>
      <c r="I116" s="107"/>
      <c r="J116" s="108"/>
      <c r="K116" s="81"/>
      <c r="L116" s="84"/>
      <c r="M116" s="85"/>
      <c r="N116" s="110"/>
      <c r="O116" s="87"/>
      <c r="P116" s="88"/>
      <c r="Q116" s="89">
        <f t="shared" si="9"/>
        <v>0</v>
      </c>
      <c r="R116" s="89">
        <f t="shared" si="10"/>
        <v>0</v>
      </c>
      <c r="S116" s="89">
        <f t="shared" si="11"/>
        <v>0</v>
      </c>
      <c r="T116" s="90"/>
      <c r="U116" s="91"/>
      <c r="V116" s="91"/>
      <c r="W116" s="92"/>
      <c r="X116" s="93"/>
      <c r="Y116" s="94"/>
      <c r="Z116" s="81"/>
      <c r="AA116" s="104"/>
      <c r="AB116" s="96"/>
      <c r="AC116" s="97"/>
      <c r="AD116" s="98"/>
      <c r="AE116" s="99"/>
      <c r="AF116" s="100"/>
      <c r="AG116" s="101"/>
    </row>
    <row r="117" s="41" customFormat="1" customHeight="1" spans="1:33">
      <c r="A117" s="79"/>
      <c r="B117" s="79"/>
      <c r="C117" s="80"/>
      <c r="D117" s="80"/>
      <c r="E117" s="80"/>
      <c r="F117" s="80"/>
      <c r="G117" s="81"/>
      <c r="H117" s="106"/>
      <c r="I117" s="107"/>
      <c r="J117" s="108"/>
      <c r="K117" s="81"/>
      <c r="L117" s="84"/>
      <c r="M117" s="85"/>
      <c r="N117" s="110"/>
      <c r="O117" s="87"/>
      <c r="P117" s="88"/>
      <c r="Q117" s="89">
        <f t="shared" si="9"/>
        <v>0</v>
      </c>
      <c r="R117" s="89">
        <f t="shared" si="10"/>
        <v>0</v>
      </c>
      <c r="S117" s="89">
        <f t="shared" si="11"/>
        <v>0</v>
      </c>
      <c r="T117" s="90"/>
      <c r="U117" s="91"/>
      <c r="V117" s="91"/>
      <c r="W117" s="92"/>
      <c r="X117" s="93"/>
      <c r="Y117" s="94"/>
      <c r="Z117" s="81"/>
      <c r="AA117" s="104"/>
      <c r="AB117" s="96"/>
      <c r="AC117" s="97"/>
      <c r="AD117" s="98"/>
      <c r="AE117" s="99"/>
      <c r="AF117" s="100"/>
      <c r="AG117" s="101"/>
    </row>
    <row r="118" s="41" customFormat="1" customHeight="1" spans="1:33">
      <c r="A118" s="79"/>
      <c r="B118" s="79"/>
      <c r="C118" s="80"/>
      <c r="D118" s="80"/>
      <c r="E118" s="80"/>
      <c r="F118" s="80"/>
      <c r="G118" s="81"/>
      <c r="H118" s="106"/>
      <c r="I118" s="107"/>
      <c r="J118" s="108"/>
      <c r="K118" s="81"/>
      <c r="L118" s="84"/>
      <c r="M118" s="85"/>
      <c r="N118" s="110"/>
      <c r="O118" s="87"/>
      <c r="P118" s="88"/>
      <c r="Q118" s="89">
        <f t="shared" si="9"/>
        <v>0</v>
      </c>
      <c r="R118" s="89">
        <f t="shared" si="10"/>
        <v>0</v>
      </c>
      <c r="S118" s="89">
        <f t="shared" si="11"/>
        <v>0</v>
      </c>
      <c r="T118" s="90"/>
      <c r="U118" s="91"/>
      <c r="V118" s="91"/>
      <c r="W118" s="92"/>
      <c r="X118" s="93"/>
      <c r="Y118" s="94"/>
      <c r="Z118" s="81"/>
      <c r="AA118" s="104"/>
      <c r="AB118" s="96"/>
      <c r="AC118" s="97"/>
      <c r="AD118" s="98"/>
      <c r="AE118" s="99"/>
      <c r="AF118" s="100"/>
      <c r="AG118" s="101"/>
    </row>
    <row r="119" s="41" customFormat="1" customHeight="1" spans="1:33">
      <c r="A119" s="79"/>
      <c r="B119" s="79"/>
      <c r="C119" s="80"/>
      <c r="D119" s="80"/>
      <c r="E119" s="80"/>
      <c r="F119" s="80"/>
      <c r="G119" s="81"/>
      <c r="H119" s="106"/>
      <c r="I119" s="107"/>
      <c r="J119" s="108"/>
      <c r="K119" s="81"/>
      <c r="L119" s="84"/>
      <c r="M119" s="85"/>
      <c r="N119" s="110"/>
      <c r="O119" s="87"/>
      <c r="P119" s="88"/>
      <c r="Q119" s="89">
        <f t="shared" si="9"/>
        <v>0</v>
      </c>
      <c r="R119" s="89">
        <f t="shared" si="10"/>
        <v>0</v>
      </c>
      <c r="S119" s="89">
        <f t="shared" si="11"/>
        <v>0</v>
      </c>
      <c r="T119" s="90"/>
      <c r="U119" s="91"/>
      <c r="V119" s="91"/>
      <c r="W119" s="92"/>
      <c r="X119" s="93"/>
      <c r="Y119" s="94"/>
      <c r="Z119" s="81"/>
      <c r="AA119" s="104"/>
      <c r="AB119" s="96"/>
      <c r="AC119" s="97"/>
      <c r="AD119" s="98"/>
      <c r="AE119" s="99"/>
      <c r="AF119" s="100"/>
      <c r="AG119" s="101"/>
    </row>
    <row r="120" s="41" customFormat="1" customHeight="1" spans="1:33">
      <c r="A120" s="79"/>
      <c r="B120" s="79"/>
      <c r="C120" s="80"/>
      <c r="D120" s="80"/>
      <c r="E120" s="80"/>
      <c r="F120" s="80"/>
      <c r="G120" s="81"/>
      <c r="H120" s="106"/>
      <c r="I120" s="107"/>
      <c r="J120" s="108"/>
      <c r="K120" s="81"/>
      <c r="L120" s="84"/>
      <c r="M120" s="85"/>
      <c r="N120" s="110"/>
      <c r="O120" s="87"/>
      <c r="P120" s="88"/>
      <c r="Q120" s="89">
        <f t="shared" si="9"/>
        <v>0</v>
      </c>
      <c r="R120" s="89">
        <f t="shared" si="10"/>
        <v>0</v>
      </c>
      <c r="S120" s="89">
        <f t="shared" si="11"/>
        <v>0</v>
      </c>
      <c r="T120" s="90"/>
      <c r="U120" s="91"/>
      <c r="V120" s="91"/>
      <c r="W120" s="92"/>
      <c r="X120" s="93"/>
      <c r="Y120" s="94"/>
      <c r="Z120" s="81"/>
      <c r="AA120" s="104"/>
      <c r="AB120" s="96"/>
      <c r="AC120" s="97"/>
      <c r="AD120" s="98"/>
      <c r="AE120" s="99"/>
      <c r="AF120" s="100"/>
      <c r="AG120" s="101"/>
    </row>
    <row r="121" s="41" customFormat="1" customHeight="1" spans="1:33">
      <c r="A121" s="79"/>
      <c r="B121" s="79"/>
      <c r="C121" s="80"/>
      <c r="D121" s="80"/>
      <c r="E121" s="80"/>
      <c r="F121" s="80"/>
      <c r="G121" s="81"/>
      <c r="H121" s="106"/>
      <c r="I121" s="107"/>
      <c r="J121" s="108"/>
      <c r="K121" s="81"/>
      <c r="L121" s="84"/>
      <c r="M121" s="85"/>
      <c r="N121" s="110"/>
      <c r="O121" s="87"/>
      <c r="P121" s="88"/>
      <c r="Q121" s="89">
        <f t="shared" si="9"/>
        <v>0</v>
      </c>
      <c r="R121" s="89">
        <f t="shared" si="10"/>
        <v>0</v>
      </c>
      <c r="S121" s="89">
        <f t="shared" si="11"/>
        <v>0</v>
      </c>
      <c r="T121" s="90"/>
      <c r="U121" s="91"/>
      <c r="V121" s="91"/>
      <c r="W121" s="92"/>
      <c r="X121" s="93"/>
      <c r="Y121" s="94"/>
      <c r="Z121" s="81"/>
      <c r="AA121" s="104"/>
      <c r="AB121" s="96"/>
      <c r="AC121" s="97"/>
      <c r="AD121" s="98"/>
      <c r="AE121" s="99"/>
      <c r="AF121" s="100"/>
      <c r="AG121" s="101"/>
    </row>
    <row r="122" s="41" customFormat="1" customHeight="1" spans="1:33">
      <c r="A122" s="79"/>
      <c r="B122" s="79"/>
      <c r="C122" s="80"/>
      <c r="D122" s="80"/>
      <c r="E122" s="80"/>
      <c r="F122" s="80"/>
      <c r="G122" s="81"/>
      <c r="H122" s="106"/>
      <c r="I122" s="107"/>
      <c r="J122" s="108"/>
      <c r="K122" s="81"/>
      <c r="L122" s="84"/>
      <c r="M122" s="85"/>
      <c r="N122" s="110"/>
      <c r="O122" s="87"/>
      <c r="P122" s="88"/>
      <c r="Q122" s="89">
        <f t="shared" si="9"/>
        <v>0</v>
      </c>
      <c r="R122" s="89">
        <f t="shared" si="10"/>
        <v>0</v>
      </c>
      <c r="S122" s="89">
        <f t="shared" si="11"/>
        <v>0</v>
      </c>
      <c r="T122" s="90"/>
      <c r="U122" s="91"/>
      <c r="V122" s="91"/>
      <c r="W122" s="92"/>
      <c r="X122" s="93"/>
      <c r="Y122" s="94"/>
      <c r="Z122" s="81"/>
      <c r="AA122" s="104"/>
      <c r="AB122" s="96"/>
      <c r="AC122" s="97"/>
      <c r="AD122" s="98"/>
      <c r="AE122" s="99"/>
      <c r="AF122" s="100"/>
      <c r="AG122" s="101"/>
    </row>
    <row r="123" s="41" customFormat="1" customHeight="1" spans="1:33">
      <c r="A123" s="79"/>
      <c r="B123" s="79"/>
      <c r="C123" s="80"/>
      <c r="D123" s="80"/>
      <c r="E123" s="80"/>
      <c r="F123" s="80"/>
      <c r="G123" s="81"/>
      <c r="H123" s="106"/>
      <c r="I123" s="107"/>
      <c r="J123" s="108"/>
      <c r="K123" s="81"/>
      <c r="L123" s="84"/>
      <c r="M123" s="85"/>
      <c r="N123" s="110"/>
      <c r="O123" s="87"/>
      <c r="P123" s="88"/>
      <c r="Q123" s="89">
        <f t="shared" si="9"/>
        <v>0</v>
      </c>
      <c r="R123" s="89">
        <f t="shared" si="10"/>
        <v>0</v>
      </c>
      <c r="S123" s="89">
        <f t="shared" si="11"/>
        <v>0</v>
      </c>
      <c r="T123" s="90"/>
      <c r="U123" s="91"/>
      <c r="V123" s="91"/>
      <c r="W123" s="92"/>
      <c r="X123" s="93"/>
      <c r="Y123" s="94"/>
      <c r="Z123" s="81"/>
      <c r="AA123" s="104"/>
      <c r="AB123" s="96"/>
      <c r="AC123" s="97"/>
      <c r="AD123" s="98"/>
      <c r="AE123" s="99"/>
      <c r="AF123" s="100"/>
      <c r="AG123" s="101"/>
    </row>
    <row r="124" s="41" customFormat="1" customHeight="1" spans="1:33">
      <c r="A124" s="79"/>
      <c r="B124" s="79"/>
      <c r="C124" s="80"/>
      <c r="D124" s="80"/>
      <c r="E124" s="80"/>
      <c r="F124" s="80"/>
      <c r="G124" s="81"/>
      <c r="H124" s="106"/>
      <c r="I124" s="107"/>
      <c r="J124" s="108"/>
      <c r="K124" s="81"/>
      <c r="L124" s="84"/>
      <c r="M124" s="85"/>
      <c r="N124" s="110"/>
      <c r="O124" s="87"/>
      <c r="P124" s="88"/>
      <c r="Q124" s="89">
        <f t="shared" si="9"/>
        <v>0</v>
      </c>
      <c r="R124" s="89">
        <f t="shared" si="10"/>
        <v>0</v>
      </c>
      <c r="S124" s="89">
        <f t="shared" si="11"/>
        <v>0</v>
      </c>
      <c r="T124" s="90"/>
      <c r="U124" s="91"/>
      <c r="V124" s="91"/>
      <c r="W124" s="92"/>
      <c r="X124" s="93"/>
      <c r="Y124" s="94"/>
      <c r="Z124" s="81"/>
      <c r="AA124" s="104"/>
      <c r="AB124" s="96"/>
      <c r="AC124" s="97"/>
      <c r="AD124" s="98"/>
      <c r="AE124" s="99"/>
      <c r="AF124" s="100"/>
      <c r="AG124" s="101"/>
    </row>
    <row r="125" s="41" customFormat="1" customHeight="1" spans="1:33">
      <c r="A125" s="79"/>
      <c r="B125" s="79"/>
      <c r="C125" s="80"/>
      <c r="D125" s="80"/>
      <c r="E125" s="80"/>
      <c r="F125" s="80"/>
      <c r="G125" s="81"/>
      <c r="H125" s="106"/>
      <c r="I125" s="107"/>
      <c r="J125" s="108"/>
      <c r="K125" s="81"/>
      <c r="L125" s="84"/>
      <c r="M125" s="85"/>
      <c r="N125" s="110"/>
      <c r="O125" s="87"/>
      <c r="P125" s="88"/>
      <c r="Q125" s="89">
        <f t="shared" si="9"/>
        <v>0</v>
      </c>
      <c r="R125" s="89">
        <f t="shared" si="10"/>
        <v>0</v>
      </c>
      <c r="S125" s="89">
        <f t="shared" si="11"/>
        <v>0</v>
      </c>
      <c r="T125" s="90"/>
      <c r="U125" s="91"/>
      <c r="V125" s="91"/>
      <c r="W125" s="92"/>
      <c r="X125" s="93"/>
      <c r="Y125" s="94"/>
      <c r="Z125" s="81"/>
      <c r="AA125" s="104"/>
      <c r="AB125" s="96"/>
      <c r="AC125" s="97"/>
      <c r="AD125" s="98"/>
      <c r="AE125" s="99"/>
      <c r="AF125" s="100"/>
      <c r="AG125" s="101"/>
    </row>
    <row r="126" s="41" customFormat="1" customHeight="1" spans="1:33">
      <c r="A126" s="79"/>
      <c r="B126" s="79"/>
      <c r="C126" s="80"/>
      <c r="D126" s="80"/>
      <c r="E126" s="80"/>
      <c r="F126" s="80"/>
      <c r="G126" s="81"/>
      <c r="H126" s="106"/>
      <c r="I126" s="107"/>
      <c r="J126" s="108"/>
      <c r="K126" s="81"/>
      <c r="L126" s="84"/>
      <c r="M126" s="85"/>
      <c r="N126" s="110"/>
      <c r="O126" s="87"/>
      <c r="P126" s="88"/>
      <c r="Q126" s="89">
        <f t="shared" si="9"/>
        <v>0</v>
      </c>
      <c r="R126" s="89">
        <f t="shared" si="10"/>
        <v>0</v>
      </c>
      <c r="S126" s="89">
        <f t="shared" si="11"/>
        <v>0</v>
      </c>
      <c r="T126" s="90"/>
      <c r="U126" s="91"/>
      <c r="V126" s="91"/>
      <c r="W126" s="92"/>
      <c r="X126" s="93"/>
      <c r="Y126" s="94"/>
      <c r="Z126" s="81"/>
      <c r="AA126" s="104"/>
      <c r="AB126" s="96"/>
      <c r="AC126" s="97"/>
      <c r="AD126" s="98"/>
      <c r="AE126" s="99"/>
      <c r="AF126" s="100"/>
      <c r="AG126" s="101"/>
    </row>
    <row r="127" s="41" customFormat="1" customHeight="1" spans="1:33">
      <c r="A127" s="79"/>
      <c r="B127" s="79"/>
      <c r="C127" s="80"/>
      <c r="D127" s="80"/>
      <c r="E127" s="80"/>
      <c r="F127" s="80"/>
      <c r="G127" s="81"/>
      <c r="H127" s="106"/>
      <c r="I127" s="107"/>
      <c r="J127" s="108"/>
      <c r="K127" s="81"/>
      <c r="L127" s="84"/>
      <c r="M127" s="85"/>
      <c r="N127" s="110"/>
      <c r="O127" s="87"/>
      <c r="P127" s="88"/>
      <c r="Q127" s="89">
        <f t="shared" si="9"/>
        <v>0</v>
      </c>
      <c r="R127" s="89">
        <f t="shared" si="10"/>
        <v>0</v>
      </c>
      <c r="S127" s="89">
        <f t="shared" si="11"/>
        <v>0</v>
      </c>
      <c r="T127" s="90"/>
      <c r="U127" s="91"/>
      <c r="V127" s="91"/>
      <c r="W127" s="92"/>
      <c r="X127" s="93"/>
      <c r="Y127" s="94"/>
      <c r="Z127" s="81"/>
      <c r="AA127" s="104"/>
      <c r="AB127" s="96"/>
      <c r="AC127" s="97"/>
      <c r="AD127" s="98"/>
      <c r="AE127" s="99"/>
      <c r="AF127" s="100"/>
      <c r="AG127" s="101"/>
    </row>
    <row r="128" s="41" customFormat="1" customHeight="1" spans="1:33">
      <c r="A128" s="79"/>
      <c r="B128" s="79"/>
      <c r="C128" s="80"/>
      <c r="D128" s="80"/>
      <c r="E128" s="80"/>
      <c r="F128" s="80"/>
      <c r="G128" s="81"/>
      <c r="H128" s="106"/>
      <c r="I128" s="107"/>
      <c r="J128" s="108"/>
      <c r="K128" s="81"/>
      <c r="L128" s="84"/>
      <c r="M128" s="85"/>
      <c r="N128" s="110"/>
      <c r="O128" s="87"/>
      <c r="P128" s="88"/>
      <c r="Q128" s="89">
        <f t="shared" si="9"/>
        <v>0</v>
      </c>
      <c r="R128" s="89">
        <f t="shared" si="10"/>
        <v>0</v>
      </c>
      <c r="S128" s="89">
        <f t="shared" si="11"/>
        <v>0</v>
      </c>
      <c r="T128" s="90"/>
      <c r="U128" s="91"/>
      <c r="V128" s="91"/>
      <c r="W128" s="92"/>
      <c r="X128" s="93"/>
      <c r="Y128" s="94"/>
      <c r="Z128" s="81"/>
      <c r="AA128" s="104"/>
      <c r="AB128" s="96"/>
      <c r="AC128" s="97"/>
      <c r="AD128" s="98"/>
      <c r="AE128" s="99"/>
      <c r="AF128" s="100"/>
      <c r="AG128" s="101"/>
    </row>
    <row r="129" s="41" customFormat="1" customHeight="1" spans="1:33">
      <c r="A129" s="79"/>
      <c r="B129" s="79"/>
      <c r="C129" s="80"/>
      <c r="D129" s="80"/>
      <c r="E129" s="80"/>
      <c r="F129" s="80"/>
      <c r="G129" s="81"/>
      <c r="H129" s="106"/>
      <c r="I129" s="107"/>
      <c r="J129" s="108"/>
      <c r="K129" s="81"/>
      <c r="L129" s="84"/>
      <c r="M129" s="85"/>
      <c r="N129" s="110"/>
      <c r="O129" s="87"/>
      <c r="P129" s="88"/>
      <c r="Q129" s="89">
        <f t="shared" si="9"/>
        <v>0</v>
      </c>
      <c r="R129" s="89">
        <f t="shared" si="10"/>
        <v>0</v>
      </c>
      <c r="S129" s="89">
        <f t="shared" si="11"/>
        <v>0</v>
      </c>
      <c r="T129" s="90"/>
      <c r="U129" s="91"/>
      <c r="V129" s="91"/>
      <c r="W129" s="92"/>
      <c r="X129" s="93"/>
      <c r="Y129" s="94"/>
      <c r="Z129" s="81"/>
      <c r="AA129" s="104"/>
      <c r="AB129" s="96"/>
      <c r="AC129" s="97"/>
      <c r="AD129" s="98"/>
      <c r="AE129" s="99"/>
      <c r="AF129" s="100"/>
      <c r="AG129" s="101"/>
    </row>
    <row r="130" s="41" customFormat="1" customHeight="1" spans="1:33">
      <c r="A130" s="79"/>
      <c r="B130" s="79"/>
      <c r="C130" s="80"/>
      <c r="D130" s="80"/>
      <c r="E130" s="80"/>
      <c r="F130" s="80"/>
      <c r="G130" s="81"/>
      <c r="H130" s="106"/>
      <c r="I130" s="107"/>
      <c r="J130" s="108"/>
      <c r="K130" s="81"/>
      <c r="L130" s="84"/>
      <c r="M130" s="85"/>
      <c r="N130" s="110"/>
      <c r="O130" s="87"/>
      <c r="P130" s="88"/>
      <c r="Q130" s="89">
        <f t="shared" si="9"/>
        <v>0</v>
      </c>
      <c r="R130" s="89">
        <f t="shared" si="10"/>
        <v>0</v>
      </c>
      <c r="S130" s="89">
        <f t="shared" si="11"/>
        <v>0</v>
      </c>
      <c r="T130" s="90"/>
      <c r="U130" s="91"/>
      <c r="V130" s="91"/>
      <c r="W130" s="92"/>
      <c r="X130" s="93"/>
      <c r="Y130" s="94"/>
      <c r="Z130" s="81"/>
      <c r="AA130" s="104"/>
      <c r="AB130" s="96"/>
      <c r="AC130" s="97"/>
      <c r="AD130" s="98"/>
      <c r="AE130" s="99"/>
      <c r="AF130" s="100"/>
      <c r="AG130" s="101"/>
    </row>
    <row r="131" s="41" customFormat="1" customHeight="1" spans="1:33">
      <c r="A131" s="79"/>
      <c r="B131" s="79"/>
      <c r="C131" s="80"/>
      <c r="D131" s="80"/>
      <c r="E131" s="80"/>
      <c r="F131" s="80"/>
      <c r="G131" s="81"/>
      <c r="H131" s="106"/>
      <c r="I131" s="107"/>
      <c r="J131" s="108"/>
      <c r="K131" s="81"/>
      <c r="L131" s="84"/>
      <c r="M131" s="85"/>
      <c r="N131" s="110"/>
      <c r="O131" s="87"/>
      <c r="P131" s="88"/>
      <c r="Q131" s="89">
        <f t="shared" ref="Q131:Q162" si="12">O131*N131+P131</f>
        <v>0</v>
      </c>
      <c r="R131" s="89">
        <f t="shared" ref="R131:R162" si="13">Q131*0.2</f>
        <v>0</v>
      </c>
      <c r="S131" s="89">
        <f t="shared" ref="S131:S162" si="14">R131+Q131</f>
        <v>0</v>
      </c>
      <c r="T131" s="90"/>
      <c r="U131" s="91"/>
      <c r="V131" s="91"/>
      <c r="W131" s="92"/>
      <c r="X131" s="93"/>
      <c r="Y131" s="94"/>
      <c r="Z131" s="81"/>
      <c r="AA131" s="104"/>
      <c r="AB131" s="96"/>
      <c r="AC131" s="97"/>
      <c r="AD131" s="98"/>
      <c r="AE131" s="99"/>
      <c r="AF131" s="100"/>
      <c r="AG131" s="101"/>
    </row>
    <row r="132" s="41" customFormat="1" customHeight="1" spans="1:33">
      <c r="A132" s="79"/>
      <c r="B132" s="79"/>
      <c r="C132" s="80"/>
      <c r="D132" s="80"/>
      <c r="E132" s="80"/>
      <c r="F132" s="80"/>
      <c r="G132" s="81"/>
      <c r="H132" s="106"/>
      <c r="I132" s="107"/>
      <c r="J132" s="108"/>
      <c r="K132" s="81"/>
      <c r="L132" s="84"/>
      <c r="M132" s="85"/>
      <c r="N132" s="110"/>
      <c r="O132" s="87"/>
      <c r="P132" s="88"/>
      <c r="Q132" s="89">
        <f t="shared" si="12"/>
        <v>0</v>
      </c>
      <c r="R132" s="89">
        <f t="shared" si="13"/>
        <v>0</v>
      </c>
      <c r="S132" s="89">
        <f t="shared" si="14"/>
        <v>0</v>
      </c>
      <c r="T132" s="90"/>
      <c r="U132" s="91"/>
      <c r="V132" s="91"/>
      <c r="W132" s="92"/>
      <c r="X132" s="93"/>
      <c r="Y132" s="94"/>
      <c r="Z132" s="81"/>
      <c r="AA132" s="104"/>
      <c r="AB132" s="96"/>
      <c r="AC132" s="97"/>
      <c r="AD132" s="98"/>
      <c r="AE132" s="99"/>
      <c r="AF132" s="100"/>
      <c r="AG132" s="101"/>
    </row>
    <row r="133" s="41" customFormat="1" customHeight="1" spans="1:33">
      <c r="A133" s="79"/>
      <c r="B133" s="79"/>
      <c r="C133" s="80"/>
      <c r="D133" s="80"/>
      <c r="E133" s="80"/>
      <c r="F133" s="80"/>
      <c r="G133" s="81"/>
      <c r="H133" s="106"/>
      <c r="I133" s="107"/>
      <c r="J133" s="108"/>
      <c r="K133" s="81"/>
      <c r="L133" s="84"/>
      <c r="M133" s="85"/>
      <c r="N133" s="110"/>
      <c r="O133" s="87"/>
      <c r="P133" s="88"/>
      <c r="Q133" s="89">
        <f t="shared" si="12"/>
        <v>0</v>
      </c>
      <c r="R133" s="89">
        <f t="shared" si="13"/>
        <v>0</v>
      </c>
      <c r="S133" s="89">
        <f t="shared" si="14"/>
        <v>0</v>
      </c>
      <c r="T133" s="90"/>
      <c r="U133" s="91"/>
      <c r="V133" s="91"/>
      <c r="W133" s="92"/>
      <c r="X133" s="93"/>
      <c r="Y133" s="94"/>
      <c r="Z133" s="81"/>
      <c r="AA133" s="104"/>
      <c r="AB133" s="96"/>
      <c r="AC133" s="97"/>
      <c r="AD133" s="98"/>
      <c r="AE133" s="99"/>
      <c r="AF133" s="100"/>
      <c r="AG133" s="101"/>
    </row>
    <row r="134" s="41" customFormat="1" customHeight="1" spans="1:33">
      <c r="A134" s="79"/>
      <c r="B134" s="79"/>
      <c r="C134" s="80"/>
      <c r="D134" s="80"/>
      <c r="E134" s="80"/>
      <c r="F134" s="80"/>
      <c r="G134" s="81"/>
      <c r="H134" s="106"/>
      <c r="I134" s="107"/>
      <c r="J134" s="108"/>
      <c r="K134" s="81"/>
      <c r="L134" s="84"/>
      <c r="M134" s="85"/>
      <c r="N134" s="110"/>
      <c r="O134" s="87"/>
      <c r="P134" s="88"/>
      <c r="Q134" s="89">
        <f t="shared" si="12"/>
        <v>0</v>
      </c>
      <c r="R134" s="89">
        <f t="shared" si="13"/>
        <v>0</v>
      </c>
      <c r="S134" s="89">
        <f t="shared" si="14"/>
        <v>0</v>
      </c>
      <c r="T134" s="90"/>
      <c r="U134" s="91"/>
      <c r="V134" s="91"/>
      <c r="W134" s="92"/>
      <c r="X134" s="93"/>
      <c r="Y134" s="94"/>
      <c r="Z134" s="81"/>
      <c r="AA134" s="104"/>
      <c r="AB134" s="96"/>
      <c r="AC134" s="97"/>
      <c r="AD134" s="98"/>
      <c r="AE134" s="99"/>
      <c r="AF134" s="100"/>
      <c r="AG134" s="101"/>
    </row>
    <row r="135" s="41" customFormat="1" customHeight="1" spans="1:33">
      <c r="A135" s="79"/>
      <c r="B135" s="79"/>
      <c r="C135" s="80"/>
      <c r="D135" s="80"/>
      <c r="E135" s="80"/>
      <c r="F135" s="80"/>
      <c r="G135" s="81"/>
      <c r="H135" s="106"/>
      <c r="I135" s="107"/>
      <c r="J135" s="108"/>
      <c r="K135" s="81"/>
      <c r="L135" s="84"/>
      <c r="M135" s="85"/>
      <c r="N135" s="110"/>
      <c r="O135" s="87"/>
      <c r="P135" s="88"/>
      <c r="Q135" s="89">
        <f t="shared" si="12"/>
        <v>0</v>
      </c>
      <c r="R135" s="89">
        <f t="shared" si="13"/>
        <v>0</v>
      </c>
      <c r="S135" s="89">
        <f t="shared" si="14"/>
        <v>0</v>
      </c>
      <c r="T135" s="90"/>
      <c r="U135" s="91"/>
      <c r="V135" s="91"/>
      <c r="W135" s="92"/>
      <c r="X135" s="93"/>
      <c r="Y135" s="94"/>
      <c r="Z135" s="81"/>
      <c r="AA135" s="104"/>
      <c r="AB135" s="96"/>
      <c r="AC135" s="97"/>
      <c r="AD135" s="98"/>
      <c r="AE135" s="99"/>
      <c r="AF135" s="100"/>
      <c r="AG135" s="101"/>
    </row>
    <row r="136" s="41" customFormat="1" customHeight="1" spans="1:33">
      <c r="A136" s="79"/>
      <c r="B136" s="79"/>
      <c r="C136" s="80"/>
      <c r="D136" s="80"/>
      <c r="E136" s="80"/>
      <c r="F136" s="80"/>
      <c r="G136" s="81"/>
      <c r="H136" s="106"/>
      <c r="I136" s="107"/>
      <c r="J136" s="108"/>
      <c r="K136" s="81"/>
      <c r="L136" s="84"/>
      <c r="M136" s="85"/>
      <c r="N136" s="110"/>
      <c r="O136" s="87"/>
      <c r="P136" s="88"/>
      <c r="Q136" s="89">
        <f t="shared" si="12"/>
        <v>0</v>
      </c>
      <c r="R136" s="89">
        <f t="shared" si="13"/>
        <v>0</v>
      </c>
      <c r="S136" s="89">
        <f t="shared" si="14"/>
        <v>0</v>
      </c>
      <c r="T136" s="90"/>
      <c r="U136" s="91"/>
      <c r="V136" s="91"/>
      <c r="W136" s="92"/>
      <c r="X136" s="93"/>
      <c r="Y136" s="94"/>
      <c r="Z136" s="81"/>
      <c r="AA136" s="104"/>
      <c r="AB136" s="96"/>
      <c r="AC136" s="97"/>
      <c r="AD136" s="98"/>
      <c r="AE136" s="99"/>
      <c r="AF136" s="100"/>
      <c r="AG136" s="101"/>
    </row>
    <row r="137" s="41" customFormat="1" customHeight="1" spans="1:33">
      <c r="A137" s="79"/>
      <c r="B137" s="79"/>
      <c r="C137" s="80"/>
      <c r="D137" s="80"/>
      <c r="E137" s="80"/>
      <c r="F137" s="80"/>
      <c r="G137" s="81"/>
      <c r="H137" s="106"/>
      <c r="I137" s="107"/>
      <c r="J137" s="108"/>
      <c r="K137" s="81"/>
      <c r="L137" s="84"/>
      <c r="M137" s="85"/>
      <c r="N137" s="110"/>
      <c r="O137" s="87"/>
      <c r="P137" s="88"/>
      <c r="Q137" s="89">
        <f t="shared" si="12"/>
        <v>0</v>
      </c>
      <c r="R137" s="89">
        <f t="shared" si="13"/>
        <v>0</v>
      </c>
      <c r="S137" s="89">
        <f t="shared" si="14"/>
        <v>0</v>
      </c>
      <c r="T137" s="90"/>
      <c r="U137" s="91"/>
      <c r="V137" s="91"/>
      <c r="W137" s="92"/>
      <c r="X137" s="93"/>
      <c r="Y137" s="94"/>
      <c r="Z137" s="81"/>
      <c r="AA137" s="104"/>
      <c r="AB137" s="96"/>
      <c r="AC137" s="97"/>
      <c r="AD137" s="98"/>
      <c r="AE137" s="99"/>
      <c r="AF137" s="100"/>
      <c r="AG137" s="101"/>
    </row>
    <row r="138" s="41" customFormat="1" customHeight="1" spans="1:33">
      <c r="A138" s="79"/>
      <c r="B138" s="79"/>
      <c r="C138" s="80"/>
      <c r="D138" s="80"/>
      <c r="E138" s="80"/>
      <c r="F138" s="80"/>
      <c r="G138" s="81"/>
      <c r="H138" s="106"/>
      <c r="I138" s="107"/>
      <c r="J138" s="108"/>
      <c r="K138" s="81"/>
      <c r="L138" s="84"/>
      <c r="M138" s="85"/>
      <c r="N138" s="110"/>
      <c r="O138" s="87"/>
      <c r="P138" s="88"/>
      <c r="Q138" s="89">
        <f t="shared" si="12"/>
        <v>0</v>
      </c>
      <c r="R138" s="89">
        <f t="shared" si="13"/>
        <v>0</v>
      </c>
      <c r="S138" s="89">
        <f t="shared" si="14"/>
        <v>0</v>
      </c>
      <c r="T138" s="90"/>
      <c r="U138" s="91"/>
      <c r="V138" s="91"/>
      <c r="W138" s="92"/>
      <c r="X138" s="93"/>
      <c r="Y138" s="94"/>
      <c r="Z138" s="81"/>
      <c r="AA138" s="104"/>
      <c r="AB138" s="96"/>
      <c r="AC138" s="97"/>
      <c r="AD138" s="98"/>
      <c r="AE138" s="99"/>
      <c r="AF138" s="100"/>
      <c r="AG138" s="101"/>
    </row>
    <row r="139" s="41" customFormat="1" customHeight="1" spans="1:33">
      <c r="A139" s="79"/>
      <c r="B139" s="79"/>
      <c r="C139" s="80"/>
      <c r="D139" s="80"/>
      <c r="E139" s="80"/>
      <c r="F139" s="80"/>
      <c r="G139" s="81"/>
      <c r="H139" s="106"/>
      <c r="I139" s="107"/>
      <c r="J139" s="108"/>
      <c r="K139" s="81"/>
      <c r="L139" s="84"/>
      <c r="M139" s="85"/>
      <c r="N139" s="110"/>
      <c r="O139" s="87"/>
      <c r="P139" s="88"/>
      <c r="Q139" s="89">
        <f t="shared" si="12"/>
        <v>0</v>
      </c>
      <c r="R139" s="89">
        <f t="shared" si="13"/>
        <v>0</v>
      </c>
      <c r="S139" s="89">
        <f t="shared" si="14"/>
        <v>0</v>
      </c>
      <c r="T139" s="90"/>
      <c r="U139" s="91"/>
      <c r="V139" s="91"/>
      <c r="W139" s="92"/>
      <c r="X139" s="93"/>
      <c r="Y139" s="94"/>
      <c r="Z139" s="81"/>
      <c r="AA139" s="104"/>
      <c r="AB139" s="96"/>
      <c r="AC139" s="97"/>
      <c r="AD139" s="98"/>
      <c r="AE139" s="99"/>
      <c r="AF139" s="100"/>
      <c r="AG139" s="101"/>
    </row>
    <row r="140" s="41" customFormat="1" customHeight="1" spans="1:33">
      <c r="A140" s="79"/>
      <c r="B140" s="79"/>
      <c r="C140" s="80"/>
      <c r="D140" s="80"/>
      <c r="E140" s="80"/>
      <c r="F140" s="80"/>
      <c r="G140" s="81"/>
      <c r="H140" s="106"/>
      <c r="I140" s="107"/>
      <c r="J140" s="108"/>
      <c r="K140" s="81"/>
      <c r="L140" s="84"/>
      <c r="M140" s="85"/>
      <c r="N140" s="110"/>
      <c r="O140" s="87"/>
      <c r="P140" s="88"/>
      <c r="Q140" s="89">
        <f t="shared" si="12"/>
        <v>0</v>
      </c>
      <c r="R140" s="89">
        <f t="shared" si="13"/>
        <v>0</v>
      </c>
      <c r="S140" s="89">
        <f t="shared" si="14"/>
        <v>0</v>
      </c>
      <c r="T140" s="90"/>
      <c r="U140" s="91"/>
      <c r="V140" s="91"/>
      <c r="W140" s="92"/>
      <c r="X140" s="93"/>
      <c r="Y140" s="94"/>
      <c r="Z140" s="81"/>
      <c r="AA140" s="104"/>
      <c r="AB140" s="96"/>
      <c r="AC140" s="97"/>
      <c r="AD140" s="98"/>
      <c r="AE140" s="99"/>
      <c r="AF140" s="100"/>
      <c r="AG140" s="101"/>
    </row>
    <row r="141" s="41" customFormat="1" customHeight="1" spans="1:33">
      <c r="A141" s="79"/>
      <c r="B141" s="79"/>
      <c r="C141" s="80"/>
      <c r="D141" s="80"/>
      <c r="E141" s="80"/>
      <c r="F141" s="80"/>
      <c r="G141" s="81"/>
      <c r="H141" s="106"/>
      <c r="I141" s="107"/>
      <c r="J141" s="108"/>
      <c r="K141" s="81"/>
      <c r="L141" s="84"/>
      <c r="M141" s="85"/>
      <c r="N141" s="110"/>
      <c r="O141" s="87"/>
      <c r="P141" s="88"/>
      <c r="Q141" s="89">
        <f t="shared" si="12"/>
        <v>0</v>
      </c>
      <c r="R141" s="89">
        <f t="shared" si="13"/>
        <v>0</v>
      </c>
      <c r="S141" s="89">
        <f t="shared" si="14"/>
        <v>0</v>
      </c>
      <c r="T141" s="90"/>
      <c r="U141" s="91"/>
      <c r="V141" s="91"/>
      <c r="W141" s="92"/>
      <c r="X141" s="93"/>
      <c r="Y141" s="94"/>
      <c r="Z141" s="81"/>
      <c r="AA141" s="104"/>
      <c r="AB141" s="96"/>
      <c r="AC141" s="97"/>
      <c r="AD141" s="98"/>
      <c r="AE141" s="99"/>
      <c r="AF141" s="100"/>
      <c r="AG141" s="101"/>
    </row>
    <row r="142" s="41" customFormat="1" customHeight="1" spans="1:33">
      <c r="A142" s="79"/>
      <c r="B142" s="79"/>
      <c r="C142" s="80"/>
      <c r="D142" s="80"/>
      <c r="E142" s="80"/>
      <c r="F142" s="80"/>
      <c r="G142" s="81"/>
      <c r="H142" s="106"/>
      <c r="I142" s="107"/>
      <c r="J142" s="108"/>
      <c r="K142" s="81"/>
      <c r="L142" s="84"/>
      <c r="M142" s="85"/>
      <c r="N142" s="110"/>
      <c r="O142" s="87"/>
      <c r="P142" s="88"/>
      <c r="Q142" s="89">
        <f t="shared" si="12"/>
        <v>0</v>
      </c>
      <c r="R142" s="89">
        <f t="shared" si="13"/>
        <v>0</v>
      </c>
      <c r="S142" s="89">
        <f t="shared" si="14"/>
        <v>0</v>
      </c>
      <c r="T142" s="90"/>
      <c r="U142" s="91"/>
      <c r="V142" s="91"/>
      <c r="W142" s="92"/>
      <c r="X142" s="93"/>
      <c r="Y142" s="94"/>
      <c r="Z142" s="81"/>
      <c r="AA142" s="104"/>
      <c r="AB142" s="96"/>
      <c r="AC142" s="97"/>
      <c r="AD142" s="98"/>
      <c r="AE142" s="99"/>
      <c r="AF142" s="100"/>
      <c r="AG142" s="101"/>
    </row>
    <row r="143" s="41" customFormat="1" customHeight="1" spans="1:33">
      <c r="A143" s="79"/>
      <c r="B143" s="79"/>
      <c r="C143" s="80"/>
      <c r="D143" s="80"/>
      <c r="E143" s="80"/>
      <c r="F143" s="80"/>
      <c r="G143" s="81"/>
      <c r="H143" s="106"/>
      <c r="I143" s="107"/>
      <c r="J143" s="108"/>
      <c r="K143" s="81"/>
      <c r="L143" s="84"/>
      <c r="M143" s="85"/>
      <c r="N143" s="110"/>
      <c r="O143" s="87"/>
      <c r="P143" s="88"/>
      <c r="Q143" s="89">
        <f t="shared" si="12"/>
        <v>0</v>
      </c>
      <c r="R143" s="89">
        <f t="shared" si="13"/>
        <v>0</v>
      </c>
      <c r="S143" s="89">
        <f t="shared" si="14"/>
        <v>0</v>
      </c>
      <c r="T143" s="90"/>
      <c r="U143" s="91"/>
      <c r="V143" s="91"/>
      <c r="W143" s="92"/>
      <c r="X143" s="93"/>
      <c r="Y143" s="94"/>
      <c r="Z143" s="81"/>
      <c r="AA143" s="104"/>
      <c r="AB143" s="96"/>
      <c r="AC143" s="97"/>
      <c r="AD143" s="98"/>
      <c r="AE143" s="99"/>
      <c r="AF143" s="100"/>
      <c r="AG143" s="101"/>
    </row>
    <row r="144" s="41" customFormat="1" customHeight="1" spans="1:33">
      <c r="A144" s="79"/>
      <c r="B144" s="79"/>
      <c r="C144" s="80"/>
      <c r="D144" s="80"/>
      <c r="E144" s="80"/>
      <c r="F144" s="80"/>
      <c r="G144" s="81"/>
      <c r="H144" s="106"/>
      <c r="I144" s="107"/>
      <c r="J144" s="108"/>
      <c r="K144" s="81"/>
      <c r="L144" s="84"/>
      <c r="M144" s="85"/>
      <c r="N144" s="110"/>
      <c r="O144" s="87"/>
      <c r="P144" s="88"/>
      <c r="Q144" s="89">
        <f t="shared" si="12"/>
        <v>0</v>
      </c>
      <c r="R144" s="89">
        <f t="shared" si="13"/>
        <v>0</v>
      </c>
      <c r="S144" s="89">
        <f t="shared" si="14"/>
        <v>0</v>
      </c>
      <c r="T144" s="90"/>
      <c r="U144" s="91"/>
      <c r="V144" s="91"/>
      <c r="W144" s="92"/>
      <c r="X144" s="93"/>
      <c r="Y144" s="94"/>
      <c r="Z144" s="81"/>
      <c r="AA144" s="104"/>
      <c r="AB144" s="96"/>
      <c r="AC144" s="97"/>
      <c r="AD144" s="98"/>
      <c r="AE144" s="99"/>
      <c r="AF144" s="100"/>
      <c r="AG144" s="101"/>
    </row>
    <row r="145" s="41" customFormat="1" customHeight="1" spans="1:33">
      <c r="A145" s="79"/>
      <c r="B145" s="79"/>
      <c r="C145" s="80"/>
      <c r="D145" s="80"/>
      <c r="E145" s="80"/>
      <c r="F145" s="80"/>
      <c r="G145" s="81"/>
      <c r="H145" s="106"/>
      <c r="I145" s="107"/>
      <c r="J145" s="108"/>
      <c r="K145" s="81"/>
      <c r="L145" s="84"/>
      <c r="M145" s="85"/>
      <c r="N145" s="110"/>
      <c r="O145" s="87"/>
      <c r="P145" s="88"/>
      <c r="Q145" s="89">
        <f t="shared" si="12"/>
        <v>0</v>
      </c>
      <c r="R145" s="89">
        <f t="shared" si="13"/>
        <v>0</v>
      </c>
      <c r="S145" s="89">
        <f t="shared" si="14"/>
        <v>0</v>
      </c>
      <c r="T145" s="90"/>
      <c r="U145" s="91"/>
      <c r="V145" s="91"/>
      <c r="W145" s="92"/>
      <c r="X145" s="93"/>
      <c r="Y145" s="94"/>
      <c r="Z145" s="81"/>
      <c r="AA145" s="104"/>
      <c r="AB145" s="96"/>
      <c r="AC145" s="97"/>
      <c r="AD145" s="98"/>
      <c r="AE145" s="99"/>
      <c r="AF145" s="100"/>
      <c r="AG145" s="101"/>
    </row>
    <row r="146" s="41" customFormat="1" customHeight="1" spans="1:33">
      <c r="A146" s="79"/>
      <c r="B146" s="79"/>
      <c r="C146" s="80"/>
      <c r="D146" s="80"/>
      <c r="E146" s="80"/>
      <c r="F146" s="80"/>
      <c r="G146" s="81"/>
      <c r="H146" s="106"/>
      <c r="I146" s="107"/>
      <c r="J146" s="108"/>
      <c r="K146" s="81"/>
      <c r="L146" s="84"/>
      <c r="M146" s="85"/>
      <c r="N146" s="110"/>
      <c r="O146" s="87"/>
      <c r="P146" s="88"/>
      <c r="Q146" s="89">
        <f t="shared" si="12"/>
        <v>0</v>
      </c>
      <c r="R146" s="89">
        <f t="shared" si="13"/>
        <v>0</v>
      </c>
      <c r="S146" s="89">
        <f t="shared" si="14"/>
        <v>0</v>
      </c>
      <c r="T146" s="90"/>
      <c r="U146" s="91"/>
      <c r="V146" s="91"/>
      <c r="W146" s="92"/>
      <c r="X146" s="93"/>
      <c r="Y146" s="94"/>
      <c r="Z146" s="81"/>
      <c r="AA146" s="104"/>
      <c r="AB146" s="96"/>
      <c r="AC146" s="97"/>
      <c r="AD146" s="98"/>
      <c r="AE146" s="99"/>
      <c r="AF146" s="100"/>
      <c r="AG146" s="101"/>
    </row>
    <row r="147" s="41" customFormat="1" customHeight="1" spans="1:33">
      <c r="A147" s="79"/>
      <c r="B147" s="79"/>
      <c r="C147" s="80"/>
      <c r="D147" s="80"/>
      <c r="E147" s="80"/>
      <c r="F147" s="80"/>
      <c r="G147" s="81"/>
      <c r="H147" s="106"/>
      <c r="I147" s="107"/>
      <c r="J147" s="108"/>
      <c r="K147" s="81"/>
      <c r="L147" s="84"/>
      <c r="M147" s="85"/>
      <c r="N147" s="110"/>
      <c r="O147" s="87"/>
      <c r="P147" s="88"/>
      <c r="Q147" s="89">
        <f t="shared" si="12"/>
        <v>0</v>
      </c>
      <c r="R147" s="89">
        <f t="shared" si="13"/>
        <v>0</v>
      </c>
      <c r="S147" s="89">
        <f t="shared" si="14"/>
        <v>0</v>
      </c>
      <c r="T147" s="90"/>
      <c r="U147" s="91"/>
      <c r="V147" s="91"/>
      <c r="W147" s="92"/>
      <c r="X147" s="93"/>
      <c r="Y147" s="94"/>
      <c r="Z147" s="81"/>
      <c r="AA147" s="104"/>
      <c r="AB147" s="96"/>
      <c r="AC147" s="97"/>
      <c r="AD147" s="98"/>
      <c r="AE147" s="99"/>
      <c r="AF147" s="100"/>
      <c r="AG147" s="101"/>
    </row>
    <row r="148" s="41" customFormat="1" customHeight="1" spans="1:33">
      <c r="A148" s="79"/>
      <c r="B148" s="79"/>
      <c r="C148" s="80"/>
      <c r="D148" s="80"/>
      <c r="E148" s="80"/>
      <c r="F148" s="80"/>
      <c r="G148" s="81"/>
      <c r="H148" s="106"/>
      <c r="I148" s="107"/>
      <c r="J148" s="108"/>
      <c r="K148" s="81"/>
      <c r="L148" s="84"/>
      <c r="M148" s="85"/>
      <c r="N148" s="110"/>
      <c r="O148" s="87"/>
      <c r="P148" s="88"/>
      <c r="Q148" s="89">
        <f t="shared" si="12"/>
        <v>0</v>
      </c>
      <c r="R148" s="89">
        <f t="shared" si="13"/>
        <v>0</v>
      </c>
      <c r="S148" s="89">
        <f t="shared" si="14"/>
        <v>0</v>
      </c>
      <c r="T148" s="90"/>
      <c r="U148" s="91"/>
      <c r="V148" s="91"/>
      <c r="W148" s="92"/>
      <c r="X148" s="93"/>
      <c r="Y148" s="94"/>
      <c r="Z148" s="81"/>
      <c r="AA148" s="104"/>
      <c r="AB148" s="96"/>
      <c r="AC148" s="97"/>
      <c r="AD148" s="98"/>
      <c r="AE148" s="99"/>
      <c r="AF148" s="100"/>
      <c r="AG148" s="101"/>
    </row>
    <row r="149" s="41" customFormat="1" customHeight="1" spans="1:33">
      <c r="A149" s="79"/>
      <c r="B149" s="79"/>
      <c r="C149" s="80"/>
      <c r="D149" s="80"/>
      <c r="E149" s="80"/>
      <c r="F149" s="80"/>
      <c r="G149" s="81"/>
      <c r="H149" s="106"/>
      <c r="I149" s="107"/>
      <c r="J149" s="108"/>
      <c r="K149" s="81"/>
      <c r="L149" s="84"/>
      <c r="M149" s="85"/>
      <c r="N149" s="110"/>
      <c r="O149" s="87"/>
      <c r="P149" s="88"/>
      <c r="Q149" s="89">
        <f t="shared" si="12"/>
        <v>0</v>
      </c>
      <c r="R149" s="89">
        <f t="shared" si="13"/>
        <v>0</v>
      </c>
      <c r="S149" s="89">
        <f t="shared" si="14"/>
        <v>0</v>
      </c>
      <c r="T149" s="90"/>
      <c r="U149" s="91"/>
      <c r="V149" s="91"/>
      <c r="W149" s="92"/>
      <c r="X149" s="93"/>
      <c r="Y149" s="94"/>
      <c r="Z149" s="81"/>
      <c r="AA149" s="104"/>
      <c r="AB149" s="96"/>
      <c r="AC149" s="97"/>
      <c r="AD149" s="98"/>
      <c r="AE149" s="99"/>
      <c r="AF149" s="100"/>
      <c r="AG149" s="101"/>
    </row>
    <row r="150" s="41" customFormat="1" customHeight="1" spans="1:33">
      <c r="A150" s="79"/>
      <c r="B150" s="79"/>
      <c r="C150" s="80"/>
      <c r="D150" s="80"/>
      <c r="E150" s="80"/>
      <c r="F150" s="80"/>
      <c r="G150" s="81"/>
      <c r="H150" s="106"/>
      <c r="I150" s="107"/>
      <c r="J150" s="108"/>
      <c r="K150" s="81"/>
      <c r="L150" s="84"/>
      <c r="M150" s="85"/>
      <c r="N150" s="110"/>
      <c r="O150" s="87"/>
      <c r="P150" s="88"/>
      <c r="Q150" s="89">
        <f t="shared" si="12"/>
        <v>0</v>
      </c>
      <c r="R150" s="89">
        <f t="shared" si="13"/>
        <v>0</v>
      </c>
      <c r="S150" s="89">
        <f t="shared" si="14"/>
        <v>0</v>
      </c>
      <c r="T150" s="90"/>
      <c r="U150" s="91"/>
      <c r="V150" s="91"/>
      <c r="W150" s="92"/>
      <c r="X150" s="93"/>
      <c r="Y150" s="94"/>
      <c r="Z150" s="81"/>
      <c r="AA150" s="104"/>
      <c r="AB150" s="96"/>
      <c r="AC150" s="97"/>
      <c r="AD150" s="98"/>
      <c r="AE150" s="99"/>
      <c r="AF150" s="100"/>
      <c r="AG150" s="101"/>
    </row>
    <row r="151" s="41" customFormat="1" customHeight="1" spans="1:33">
      <c r="A151" s="79"/>
      <c r="B151" s="79"/>
      <c r="C151" s="80"/>
      <c r="D151" s="80"/>
      <c r="E151" s="80"/>
      <c r="F151" s="80"/>
      <c r="G151" s="81"/>
      <c r="H151" s="106"/>
      <c r="I151" s="107"/>
      <c r="J151" s="108"/>
      <c r="K151" s="81"/>
      <c r="L151" s="84"/>
      <c r="M151" s="85"/>
      <c r="N151" s="110"/>
      <c r="O151" s="87"/>
      <c r="P151" s="88"/>
      <c r="Q151" s="89">
        <f t="shared" si="12"/>
        <v>0</v>
      </c>
      <c r="R151" s="89">
        <f t="shared" si="13"/>
        <v>0</v>
      </c>
      <c r="S151" s="89">
        <f t="shared" si="14"/>
        <v>0</v>
      </c>
      <c r="T151" s="90"/>
      <c r="U151" s="91"/>
      <c r="V151" s="91"/>
      <c r="W151" s="92"/>
      <c r="X151" s="93"/>
      <c r="Y151" s="94"/>
      <c r="Z151" s="81"/>
      <c r="AA151" s="104"/>
      <c r="AB151" s="96"/>
      <c r="AC151" s="97"/>
      <c r="AD151" s="98"/>
      <c r="AE151" s="99"/>
      <c r="AF151" s="100"/>
      <c r="AG151" s="101"/>
    </row>
    <row r="152" s="41" customFormat="1" customHeight="1" spans="1:33">
      <c r="A152" s="79"/>
      <c r="B152" s="79"/>
      <c r="C152" s="80"/>
      <c r="D152" s="80"/>
      <c r="E152" s="80"/>
      <c r="F152" s="80"/>
      <c r="G152" s="81"/>
      <c r="H152" s="106"/>
      <c r="I152" s="107"/>
      <c r="J152" s="108"/>
      <c r="K152" s="81"/>
      <c r="L152" s="84"/>
      <c r="M152" s="85"/>
      <c r="N152" s="110"/>
      <c r="O152" s="87"/>
      <c r="P152" s="88"/>
      <c r="Q152" s="89">
        <f t="shared" si="12"/>
        <v>0</v>
      </c>
      <c r="R152" s="89">
        <f t="shared" si="13"/>
        <v>0</v>
      </c>
      <c r="S152" s="89">
        <f t="shared" si="14"/>
        <v>0</v>
      </c>
      <c r="T152" s="90"/>
      <c r="U152" s="91"/>
      <c r="V152" s="91"/>
      <c r="W152" s="92"/>
      <c r="X152" s="93"/>
      <c r="Y152" s="94"/>
      <c r="Z152" s="81"/>
      <c r="AA152" s="104"/>
      <c r="AB152" s="96"/>
      <c r="AC152" s="97"/>
      <c r="AD152" s="98"/>
      <c r="AE152" s="99"/>
      <c r="AF152" s="100"/>
      <c r="AG152" s="101"/>
    </row>
    <row r="153" s="41" customFormat="1" customHeight="1" spans="1:33">
      <c r="A153" s="79"/>
      <c r="B153" s="79"/>
      <c r="C153" s="80"/>
      <c r="D153" s="80"/>
      <c r="E153" s="80"/>
      <c r="F153" s="80"/>
      <c r="G153" s="81"/>
      <c r="H153" s="106"/>
      <c r="I153" s="107"/>
      <c r="J153" s="108"/>
      <c r="K153" s="81"/>
      <c r="L153" s="84"/>
      <c r="M153" s="85"/>
      <c r="N153" s="110"/>
      <c r="O153" s="87"/>
      <c r="P153" s="88"/>
      <c r="Q153" s="89">
        <f t="shared" si="12"/>
        <v>0</v>
      </c>
      <c r="R153" s="89">
        <f t="shared" si="13"/>
        <v>0</v>
      </c>
      <c r="S153" s="89">
        <f t="shared" si="14"/>
        <v>0</v>
      </c>
      <c r="T153" s="90"/>
      <c r="U153" s="91"/>
      <c r="V153" s="91"/>
      <c r="W153" s="92"/>
      <c r="X153" s="93"/>
      <c r="Y153" s="94"/>
      <c r="Z153" s="81"/>
      <c r="AA153" s="104"/>
      <c r="AB153" s="96"/>
      <c r="AC153" s="97"/>
      <c r="AD153" s="98"/>
      <c r="AE153" s="99"/>
      <c r="AF153" s="100"/>
      <c r="AG153" s="101"/>
    </row>
    <row r="154" s="41" customFormat="1" customHeight="1" spans="1:33">
      <c r="A154" s="79"/>
      <c r="B154" s="79"/>
      <c r="C154" s="80"/>
      <c r="D154" s="80"/>
      <c r="E154" s="80"/>
      <c r="F154" s="80"/>
      <c r="G154" s="81"/>
      <c r="H154" s="106"/>
      <c r="I154" s="107"/>
      <c r="J154" s="108"/>
      <c r="K154" s="81"/>
      <c r="L154" s="84"/>
      <c r="M154" s="85"/>
      <c r="N154" s="110"/>
      <c r="O154" s="87"/>
      <c r="P154" s="88"/>
      <c r="Q154" s="89">
        <f t="shared" si="12"/>
        <v>0</v>
      </c>
      <c r="R154" s="89">
        <f t="shared" si="13"/>
        <v>0</v>
      </c>
      <c r="S154" s="89">
        <f t="shared" si="14"/>
        <v>0</v>
      </c>
      <c r="T154" s="90"/>
      <c r="U154" s="91"/>
      <c r="V154" s="91"/>
      <c r="W154" s="92"/>
      <c r="X154" s="93"/>
      <c r="Y154" s="94"/>
      <c r="Z154" s="81"/>
      <c r="AA154" s="104"/>
      <c r="AB154" s="96"/>
      <c r="AC154" s="97"/>
      <c r="AD154" s="98"/>
      <c r="AE154" s="99"/>
      <c r="AF154" s="100"/>
      <c r="AG154" s="101"/>
    </row>
    <row r="155" s="41" customFormat="1" customHeight="1" spans="1:33">
      <c r="A155" s="79"/>
      <c r="B155" s="79"/>
      <c r="C155" s="80"/>
      <c r="D155" s="80"/>
      <c r="E155" s="80"/>
      <c r="F155" s="80"/>
      <c r="G155" s="81"/>
      <c r="H155" s="106"/>
      <c r="I155" s="107"/>
      <c r="J155" s="108"/>
      <c r="K155" s="81"/>
      <c r="L155" s="84"/>
      <c r="M155" s="85"/>
      <c r="N155" s="110"/>
      <c r="O155" s="87"/>
      <c r="P155" s="88"/>
      <c r="Q155" s="89">
        <f t="shared" si="12"/>
        <v>0</v>
      </c>
      <c r="R155" s="89">
        <f t="shared" si="13"/>
        <v>0</v>
      </c>
      <c r="S155" s="89">
        <f t="shared" si="14"/>
        <v>0</v>
      </c>
      <c r="T155" s="90"/>
      <c r="U155" s="91"/>
      <c r="V155" s="91"/>
      <c r="W155" s="92"/>
      <c r="X155" s="93"/>
      <c r="Y155" s="94"/>
      <c r="Z155" s="81"/>
      <c r="AA155" s="104"/>
      <c r="AB155" s="96"/>
      <c r="AC155" s="97"/>
      <c r="AD155" s="98"/>
      <c r="AE155" s="99"/>
      <c r="AF155" s="100"/>
      <c r="AG155" s="101"/>
    </row>
    <row r="156" s="41" customFormat="1" customHeight="1" spans="1:33">
      <c r="A156" s="79"/>
      <c r="B156" s="79"/>
      <c r="C156" s="80"/>
      <c r="D156" s="80"/>
      <c r="E156" s="80"/>
      <c r="F156" s="80"/>
      <c r="G156" s="81"/>
      <c r="H156" s="106"/>
      <c r="I156" s="107"/>
      <c r="J156" s="108"/>
      <c r="K156" s="81"/>
      <c r="L156" s="84"/>
      <c r="M156" s="85"/>
      <c r="N156" s="110"/>
      <c r="O156" s="87"/>
      <c r="P156" s="88"/>
      <c r="Q156" s="89">
        <f t="shared" si="12"/>
        <v>0</v>
      </c>
      <c r="R156" s="89">
        <f t="shared" si="13"/>
        <v>0</v>
      </c>
      <c r="S156" s="89">
        <f t="shared" si="14"/>
        <v>0</v>
      </c>
      <c r="T156" s="90"/>
      <c r="U156" s="91"/>
      <c r="V156" s="91"/>
      <c r="W156" s="92"/>
      <c r="X156" s="93"/>
      <c r="Y156" s="94"/>
      <c r="Z156" s="81"/>
      <c r="AA156" s="104"/>
      <c r="AB156" s="96"/>
      <c r="AC156" s="97"/>
      <c r="AD156" s="98"/>
      <c r="AE156" s="99"/>
      <c r="AF156" s="100"/>
      <c r="AG156" s="101"/>
    </row>
    <row r="157" s="41" customFormat="1" customHeight="1" spans="1:33">
      <c r="A157" s="79"/>
      <c r="B157" s="79"/>
      <c r="C157" s="80"/>
      <c r="D157" s="80"/>
      <c r="E157" s="80"/>
      <c r="F157" s="80"/>
      <c r="G157" s="81"/>
      <c r="H157" s="106"/>
      <c r="I157" s="107"/>
      <c r="J157" s="108"/>
      <c r="K157" s="81"/>
      <c r="L157" s="84"/>
      <c r="M157" s="85"/>
      <c r="N157" s="110"/>
      <c r="O157" s="87"/>
      <c r="P157" s="88"/>
      <c r="Q157" s="89">
        <f t="shared" si="12"/>
        <v>0</v>
      </c>
      <c r="R157" s="89">
        <f t="shared" si="13"/>
        <v>0</v>
      </c>
      <c r="S157" s="89">
        <f t="shared" si="14"/>
        <v>0</v>
      </c>
      <c r="T157" s="90"/>
      <c r="U157" s="91"/>
      <c r="V157" s="91"/>
      <c r="W157" s="92"/>
      <c r="X157" s="93"/>
      <c r="Y157" s="94"/>
      <c r="Z157" s="81"/>
      <c r="AA157" s="104"/>
      <c r="AB157" s="96"/>
      <c r="AC157" s="97"/>
      <c r="AD157" s="98"/>
      <c r="AE157" s="99"/>
      <c r="AF157" s="100"/>
      <c r="AG157" s="101"/>
    </row>
    <row r="158" s="41" customFormat="1" customHeight="1" spans="1:33">
      <c r="A158" s="79"/>
      <c r="B158" s="79"/>
      <c r="C158" s="80"/>
      <c r="D158" s="80"/>
      <c r="E158" s="80"/>
      <c r="F158" s="80"/>
      <c r="G158" s="81"/>
      <c r="H158" s="106"/>
      <c r="I158" s="107"/>
      <c r="J158" s="108"/>
      <c r="K158" s="81"/>
      <c r="L158" s="84"/>
      <c r="M158" s="85"/>
      <c r="N158" s="110"/>
      <c r="O158" s="87"/>
      <c r="P158" s="88"/>
      <c r="Q158" s="89">
        <f t="shared" si="12"/>
        <v>0</v>
      </c>
      <c r="R158" s="89">
        <f t="shared" si="13"/>
        <v>0</v>
      </c>
      <c r="S158" s="89">
        <f t="shared" si="14"/>
        <v>0</v>
      </c>
      <c r="T158" s="90"/>
      <c r="U158" s="91"/>
      <c r="V158" s="91"/>
      <c r="W158" s="92"/>
      <c r="X158" s="93"/>
      <c r="Y158" s="94"/>
      <c r="Z158" s="81"/>
      <c r="AA158" s="104"/>
      <c r="AB158" s="96"/>
      <c r="AC158" s="97"/>
      <c r="AD158" s="98"/>
      <c r="AE158" s="99"/>
      <c r="AF158" s="100"/>
      <c r="AG158" s="101"/>
    </row>
    <row r="159" s="41" customFormat="1" customHeight="1" spans="1:33">
      <c r="A159" s="79"/>
      <c r="B159" s="79"/>
      <c r="C159" s="80"/>
      <c r="D159" s="80"/>
      <c r="E159" s="80"/>
      <c r="F159" s="80"/>
      <c r="G159" s="81"/>
      <c r="H159" s="106"/>
      <c r="I159" s="107"/>
      <c r="J159" s="108"/>
      <c r="K159" s="81"/>
      <c r="L159" s="84"/>
      <c r="M159" s="85"/>
      <c r="N159" s="110"/>
      <c r="O159" s="87"/>
      <c r="P159" s="88"/>
      <c r="Q159" s="89">
        <f t="shared" si="12"/>
        <v>0</v>
      </c>
      <c r="R159" s="89">
        <f t="shared" si="13"/>
        <v>0</v>
      </c>
      <c r="S159" s="89">
        <f t="shared" si="14"/>
        <v>0</v>
      </c>
      <c r="T159" s="90"/>
      <c r="U159" s="91"/>
      <c r="V159" s="91"/>
      <c r="W159" s="92"/>
      <c r="X159" s="93"/>
      <c r="Y159" s="94"/>
      <c r="Z159" s="81"/>
      <c r="AA159" s="104"/>
      <c r="AB159" s="96"/>
      <c r="AC159" s="97"/>
      <c r="AD159" s="98"/>
      <c r="AE159" s="99"/>
      <c r="AF159" s="100"/>
      <c r="AG159" s="101"/>
    </row>
    <row r="160" s="41" customFormat="1" customHeight="1" spans="1:33">
      <c r="A160" s="79"/>
      <c r="B160" s="79"/>
      <c r="C160" s="80"/>
      <c r="D160" s="80"/>
      <c r="E160" s="80"/>
      <c r="F160" s="80"/>
      <c r="G160" s="81"/>
      <c r="H160" s="106"/>
      <c r="I160" s="107"/>
      <c r="J160" s="108"/>
      <c r="K160" s="81"/>
      <c r="L160" s="84"/>
      <c r="M160" s="85"/>
      <c r="N160" s="110"/>
      <c r="O160" s="87"/>
      <c r="P160" s="88"/>
      <c r="Q160" s="89">
        <f t="shared" si="12"/>
        <v>0</v>
      </c>
      <c r="R160" s="89">
        <f t="shared" si="13"/>
        <v>0</v>
      </c>
      <c r="S160" s="89">
        <f t="shared" si="14"/>
        <v>0</v>
      </c>
      <c r="T160" s="90"/>
      <c r="U160" s="91"/>
      <c r="V160" s="91"/>
      <c r="W160" s="92"/>
      <c r="X160" s="93"/>
      <c r="Y160" s="94"/>
      <c r="Z160" s="81"/>
      <c r="AA160" s="104"/>
      <c r="AB160" s="96"/>
      <c r="AC160" s="97"/>
      <c r="AD160" s="98"/>
      <c r="AE160" s="99"/>
      <c r="AF160" s="100"/>
      <c r="AG160" s="101"/>
    </row>
    <row r="161" s="41" customFormat="1" customHeight="1" spans="1:33">
      <c r="A161" s="79"/>
      <c r="B161" s="79"/>
      <c r="C161" s="80"/>
      <c r="D161" s="80"/>
      <c r="E161" s="80"/>
      <c r="F161" s="80"/>
      <c r="G161" s="81"/>
      <c r="H161" s="106"/>
      <c r="I161" s="107"/>
      <c r="J161" s="108"/>
      <c r="K161" s="81"/>
      <c r="L161" s="84"/>
      <c r="M161" s="85"/>
      <c r="N161" s="110"/>
      <c r="O161" s="87"/>
      <c r="P161" s="88"/>
      <c r="Q161" s="89">
        <f t="shared" si="12"/>
        <v>0</v>
      </c>
      <c r="R161" s="89">
        <f t="shared" si="13"/>
        <v>0</v>
      </c>
      <c r="S161" s="89">
        <f t="shared" si="14"/>
        <v>0</v>
      </c>
      <c r="T161" s="90"/>
      <c r="U161" s="91"/>
      <c r="V161" s="91"/>
      <c r="W161" s="92"/>
      <c r="X161" s="93"/>
      <c r="Y161" s="94"/>
      <c r="Z161" s="81"/>
      <c r="AA161" s="104"/>
      <c r="AB161" s="96"/>
      <c r="AC161" s="97"/>
      <c r="AD161" s="98"/>
      <c r="AE161" s="99"/>
      <c r="AF161" s="100"/>
      <c r="AG161" s="101"/>
    </row>
    <row r="162" s="41" customFormat="1" customHeight="1" spans="1:33">
      <c r="A162" s="79"/>
      <c r="B162" s="79"/>
      <c r="C162" s="80"/>
      <c r="D162" s="80"/>
      <c r="E162" s="80"/>
      <c r="F162" s="80"/>
      <c r="G162" s="81"/>
      <c r="H162" s="106"/>
      <c r="I162" s="107"/>
      <c r="J162" s="108"/>
      <c r="K162" s="81"/>
      <c r="L162" s="84"/>
      <c r="M162" s="85"/>
      <c r="N162" s="110"/>
      <c r="O162" s="87"/>
      <c r="P162" s="88"/>
      <c r="Q162" s="89">
        <f t="shared" si="12"/>
        <v>0</v>
      </c>
      <c r="R162" s="89">
        <f t="shared" si="13"/>
        <v>0</v>
      </c>
      <c r="S162" s="89">
        <f t="shared" si="14"/>
        <v>0</v>
      </c>
      <c r="T162" s="90"/>
      <c r="U162" s="91"/>
      <c r="V162" s="91"/>
      <c r="W162" s="92"/>
      <c r="X162" s="93"/>
      <c r="Y162" s="94"/>
      <c r="Z162" s="81"/>
      <c r="AA162" s="104"/>
      <c r="AB162" s="96"/>
      <c r="AC162" s="97"/>
      <c r="AD162" s="98"/>
      <c r="AE162" s="99"/>
      <c r="AF162" s="100"/>
      <c r="AG162" s="101"/>
    </row>
    <row r="163" s="41" customFormat="1" customHeight="1" spans="1:33">
      <c r="A163" s="79"/>
      <c r="B163" s="79"/>
      <c r="C163" s="80"/>
      <c r="D163" s="80"/>
      <c r="E163" s="80"/>
      <c r="F163" s="80"/>
      <c r="G163" s="81"/>
      <c r="H163" s="106"/>
      <c r="I163" s="107"/>
      <c r="J163" s="108"/>
      <c r="K163" s="81"/>
      <c r="L163" s="84"/>
      <c r="M163" s="85"/>
      <c r="N163" s="110"/>
      <c r="O163" s="87"/>
      <c r="P163" s="88"/>
      <c r="Q163" s="89">
        <f t="shared" ref="Q163:Q165" si="15">O163*N163+P163</f>
        <v>0</v>
      </c>
      <c r="R163" s="89">
        <f t="shared" ref="R163:R165" si="16">Q163*0.2</f>
        <v>0</v>
      </c>
      <c r="S163" s="89">
        <f t="shared" ref="S163:S165" si="17">R163+Q163</f>
        <v>0</v>
      </c>
      <c r="T163" s="90"/>
      <c r="U163" s="91"/>
      <c r="V163" s="91"/>
      <c r="W163" s="92"/>
      <c r="X163" s="93"/>
      <c r="Y163" s="94"/>
      <c r="Z163" s="81"/>
      <c r="AA163" s="104"/>
      <c r="AB163" s="96"/>
      <c r="AC163" s="97"/>
      <c r="AD163" s="98"/>
      <c r="AE163" s="99"/>
      <c r="AF163" s="100"/>
      <c r="AG163" s="101"/>
    </row>
    <row r="164" s="41" customFormat="1" customHeight="1" spans="1:33">
      <c r="A164" s="79"/>
      <c r="B164" s="79"/>
      <c r="C164" s="80"/>
      <c r="D164" s="80"/>
      <c r="E164" s="80"/>
      <c r="F164" s="80"/>
      <c r="G164" s="81"/>
      <c r="H164" s="106"/>
      <c r="I164" s="107"/>
      <c r="J164" s="108"/>
      <c r="K164" s="81"/>
      <c r="L164" s="84"/>
      <c r="M164" s="85"/>
      <c r="N164" s="110"/>
      <c r="O164" s="87"/>
      <c r="P164" s="88"/>
      <c r="Q164" s="89">
        <f t="shared" si="15"/>
        <v>0</v>
      </c>
      <c r="R164" s="89">
        <f t="shared" si="16"/>
        <v>0</v>
      </c>
      <c r="S164" s="89">
        <f t="shared" si="17"/>
        <v>0</v>
      </c>
      <c r="T164" s="90"/>
      <c r="U164" s="91"/>
      <c r="V164" s="91"/>
      <c r="W164" s="92"/>
      <c r="X164" s="93"/>
      <c r="Y164" s="94"/>
      <c r="Z164" s="81"/>
      <c r="AA164" s="104"/>
      <c r="AB164" s="96"/>
      <c r="AC164" s="97"/>
      <c r="AD164" s="98"/>
      <c r="AE164" s="99"/>
      <c r="AF164" s="100"/>
      <c r="AG164" s="101"/>
    </row>
    <row r="165" s="41" customFormat="1" customHeight="1" spans="1:33">
      <c r="A165" s="79"/>
      <c r="B165" s="79"/>
      <c r="C165" s="80"/>
      <c r="D165" s="80"/>
      <c r="E165" s="80"/>
      <c r="F165" s="80"/>
      <c r="G165" s="81"/>
      <c r="H165" s="106"/>
      <c r="I165" s="107"/>
      <c r="J165" s="108"/>
      <c r="K165" s="81"/>
      <c r="L165" s="84"/>
      <c r="M165" s="85"/>
      <c r="N165" s="110"/>
      <c r="O165" s="87"/>
      <c r="P165" s="88"/>
      <c r="Q165" s="89">
        <f t="shared" si="15"/>
        <v>0</v>
      </c>
      <c r="R165" s="89">
        <f t="shared" si="16"/>
        <v>0</v>
      </c>
      <c r="S165" s="89">
        <f t="shared" si="17"/>
        <v>0</v>
      </c>
      <c r="T165" s="90"/>
      <c r="U165" s="91"/>
      <c r="V165" s="91"/>
      <c r="W165" s="92"/>
      <c r="X165" s="93"/>
      <c r="Y165" s="94"/>
      <c r="Z165" s="81"/>
      <c r="AA165" s="104"/>
      <c r="AB165" s="96"/>
      <c r="AC165" s="97"/>
      <c r="AD165" s="98"/>
      <c r="AE165" s="99"/>
      <c r="AF165" s="100"/>
      <c r="AG165" s="101"/>
    </row>
  </sheetData>
  <sheetProtection formatCells="0" insertHyperlinks="0" autoFilter="0"/>
  <autoFilter xmlns:etc="http://www.wps.cn/officeDocument/2017/etCustomData" ref="A2:AH165" etc:filterBottomFollowUsedRange="0">
    <extLst/>
  </autoFilter>
  <mergeCells count="6">
    <mergeCell ref="A1:G1"/>
    <mergeCell ref="H1:N1"/>
    <mergeCell ref="O1:W1"/>
    <mergeCell ref="X1:AA1"/>
    <mergeCell ref="AB1:AD1"/>
    <mergeCell ref="AE1:AF1"/>
  </mergeCells>
  <conditionalFormatting sqref="K2">
    <cfRule type="duplicateValues" dxfId="0" priority="22"/>
  </conditionalFormatting>
  <conditionalFormatting sqref="K3">
    <cfRule type="duplicateValues" dxfId="0" priority="21"/>
  </conditionalFormatting>
  <conditionalFormatting sqref="K4">
    <cfRule type="duplicateValues" dxfId="0" priority="20"/>
  </conditionalFormatting>
  <conditionalFormatting sqref="K6:K8">
    <cfRule type="duplicateValues" dxfId="0" priority="19"/>
  </conditionalFormatting>
  <conditionalFormatting sqref="K9:K20">
    <cfRule type="duplicateValues" dxfId="0" priority="18"/>
  </conditionalFormatting>
  <conditionalFormatting sqref="K21:K165">
    <cfRule type="duplicateValues" dxfId="0" priority="17"/>
  </conditionalFormatting>
  <dataValidations count="9">
    <dataValidation type="list" allowBlank="1" showInputMessage="1" showErrorMessage="1" sqref="D1 C1:C200 D166:D200">
      <formula1>"6600800200"</formula1>
    </dataValidation>
    <dataValidation allowBlank="1" showInputMessage="1" showErrorMessage="1" sqref="Z2:AA2 AA9:AA1048576"/>
    <dataValidation allowBlank="1" showInputMessage="1" showErrorMessage="1" error="请按“年年年年-月月-日日”格式填写" sqref="L8:M8 Y3:Y8 L2:M4 L5:N7"/>
    <dataValidation type="list" allowBlank="1" showInputMessage="1" showErrorMessage="1" sqref="B$1:B$1048576">
      <formula1>"New equipment,Overhaul,Construction work project,Software"</formula1>
    </dataValidation>
    <dataValidation type="list" allowBlank="1" showInputMessage="1" showErrorMessage="1" sqref="D3:D165">
      <formula1>reference!$S$2:$S$19</formula1>
    </dataValidation>
    <dataValidation type="list" allowBlank="1" showInputMessage="1" showErrorMessage="1" sqref="F$1:F$1048576">
      <formula1>reference!$U$1:$U$19</formula1>
    </dataValidation>
    <dataValidation type="list" allowBlank="1" showInputMessage="1" showErrorMessage="1" sqref="T$1:T$1048576">
      <formula1>"GBP,EUR,USD,RMB"</formula1>
    </dataValidation>
    <dataValidation type="list" allowBlank="1" showInputMessage="1" showErrorMessage="1" sqref="Z3:Z8">
      <formula1>"Monthly,Extraordinary"</formula1>
    </dataValidation>
    <dataValidation type="list" allowBlank="1" showInputMessage="1" showErrorMessage="1" sqref="Z9:Z1048576">
      <formula1>"Monthly,Temporary"</formula1>
    </dataValidation>
  </dataValidation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0000"/>
    <outlinePr summaryBelow="0" summaryRight="0"/>
  </sheetPr>
  <dimension ref="A1:AL61"/>
  <sheetViews>
    <sheetView showGridLines="0" workbookViewId="0">
      <pane ySplit="1" topLeftCell="A2" activePane="bottomLeft" state="frozen"/>
      <selection/>
      <selection pane="bottomLeft" activeCell="A1" sqref="A1"/>
    </sheetView>
  </sheetViews>
  <sheetFormatPr defaultColWidth="10.5" defaultRowHeight="18.75" customHeight="1"/>
  <cols>
    <col min="1" max="1" width="19.1666666666667" style="2" customWidth="1"/>
    <col min="2" max="4" width="20.1666666666667" style="2" customWidth="1"/>
    <col min="5" max="5" width="18.6666666666667" style="2" customWidth="1"/>
    <col min="6" max="18" width="10.5" style="2"/>
    <col min="19" max="19" width="18.8333333333333" style="2" customWidth="1"/>
    <col min="20" max="22" width="10.5" style="2"/>
    <col min="23" max="23" width="10.5" style="3"/>
    <col min="24" max="24" width="11.1666666666667" style="3"/>
    <col min="25" max="25" width="8.83333333333333" style="3"/>
    <col min="26" max="26" width="9.5" style="3"/>
    <col min="27" max="27" width="12.5" style="3"/>
    <col min="28" max="28" width="14.5" style="3" customWidth="1"/>
    <col min="29" max="29" width="37.8333333333333" style="3" customWidth="1"/>
    <col min="30" max="30" width="8" style="3"/>
    <col min="31" max="31" width="10.1666666666667" style="3"/>
    <col min="32" max="32" width="12.3333333333333" style="3"/>
    <col min="33" max="33" width="14.3333333333333" style="3"/>
    <col min="34" max="34" width="24.8333333333333" style="3"/>
    <col min="35" max="37" width="10.5" style="3"/>
    <col min="38" max="40" width="10.5" style="2"/>
  </cols>
  <sheetData>
    <row r="1" s="1" customFormat="1" customHeight="1" spans="1:38">
      <c r="A1" s="4" t="s">
        <v>113</v>
      </c>
      <c r="B1" s="4" t="s">
        <v>106</v>
      </c>
      <c r="C1" s="4" t="s">
        <v>114</v>
      </c>
      <c r="D1" s="4" t="s">
        <v>115</v>
      </c>
      <c r="E1" s="4" t="s">
        <v>25</v>
      </c>
      <c r="F1" s="4" t="s">
        <v>116</v>
      </c>
      <c r="G1" s="4" t="s">
        <v>117</v>
      </c>
      <c r="H1" s="4" t="s">
        <v>118</v>
      </c>
      <c r="I1" s="4" t="s">
        <v>119</v>
      </c>
      <c r="L1" s="4" t="s">
        <v>120</v>
      </c>
      <c r="M1" s="4" t="s">
        <v>118</v>
      </c>
      <c r="N1" s="4" t="s">
        <v>121</v>
      </c>
      <c r="O1" s="4" t="s">
        <v>122</v>
      </c>
      <c r="P1" s="4" t="s">
        <v>0</v>
      </c>
      <c r="R1" s="4" t="s">
        <v>123</v>
      </c>
      <c r="S1" s="4" t="s">
        <v>124</v>
      </c>
      <c r="U1" s="4" t="s">
        <v>27</v>
      </c>
      <c r="W1" s="5"/>
      <c r="X1" s="5" t="s">
        <v>125</v>
      </c>
      <c r="Y1" s="5"/>
      <c r="Z1" s="5"/>
      <c r="AA1" s="5"/>
      <c r="AB1" s="5"/>
      <c r="AC1" s="5"/>
      <c r="AD1" s="5"/>
      <c r="AE1" s="5"/>
      <c r="AF1" s="5"/>
      <c r="AG1" s="5"/>
      <c r="AH1" s="5"/>
      <c r="AI1" s="6"/>
      <c r="AJ1" s="6"/>
      <c r="AK1" s="6"/>
    </row>
    <row r="2" customHeight="1" spans="1:38">
      <c r="A2" s="7" t="s">
        <v>126</v>
      </c>
      <c r="B2" s="7" t="s">
        <v>127</v>
      </c>
      <c r="C2" s="7" t="s">
        <v>128</v>
      </c>
      <c r="D2" s="7" t="s">
        <v>129</v>
      </c>
      <c r="E2" s="7" t="s">
        <v>130</v>
      </c>
      <c r="F2" s="7" t="s">
        <v>130</v>
      </c>
      <c r="G2" s="7">
        <v>5101010000</v>
      </c>
      <c r="H2" s="7">
        <v>5101010000</v>
      </c>
      <c r="I2" s="7" t="s">
        <v>131</v>
      </c>
      <c r="L2" s="7" t="s">
        <v>132</v>
      </c>
      <c r="M2" s="7" t="s">
        <v>133</v>
      </c>
      <c r="N2" s="7" t="s">
        <v>134</v>
      </c>
      <c r="O2" s="7" t="s">
        <v>135</v>
      </c>
      <c r="P2" s="7" t="s">
        <v>136</v>
      </c>
      <c r="R2" s="7" t="s">
        <v>9</v>
      </c>
      <c r="S2" s="7" t="s">
        <v>10</v>
      </c>
      <c r="U2" s="7" t="s">
        <v>137</v>
      </c>
      <c r="W2" s="5"/>
      <c r="X2" s="8"/>
      <c r="Y2" s="8"/>
      <c r="Z2" s="8"/>
      <c r="AA2" s="8"/>
      <c r="AB2" s="8"/>
      <c r="AC2" s="8"/>
      <c r="AD2" s="8"/>
      <c r="AE2" s="8"/>
      <c r="AF2" s="8"/>
      <c r="AG2" s="8"/>
      <c r="AH2" s="8"/>
    </row>
    <row r="3" customHeight="1" spans="1:38">
      <c r="A3" s="9" t="s">
        <v>138</v>
      </c>
      <c r="B3" s="7" t="s">
        <v>139</v>
      </c>
      <c r="C3" s="7" t="s">
        <v>140</v>
      </c>
      <c r="D3" s="7" t="s">
        <v>129</v>
      </c>
      <c r="E3" s="7" t="s">
        <v>130</v>
      </c>
      <c r="F3" s="7" t="s">
        <v>130</v>
      </c>
      <c r="G3" s="7" t="s">
        <v>130</v>
      </c>
      <c r="H3" s="7" t="s">
        <v>129</v>
      </c>
      <c r="I3" s="7" t="s">
        <v>141</v>
      </c>
      <c r="L3" s="7" t="s">
        <v>132</v>
      </c>
      <c r="M3" s="7" t="s">
        <v>142</v>
      </c>
      <c r="N3" s="7" t="s">
        <v>143</v>
      </c>
      <c r="O3" s="7" t="s">
        <v>144</v>
      </c>
      <c r="P3" s="7" t="s">
        <v>145</v>
      </c>
      <c r="R3" s="7"/>
      <c r="S3" s="7" t="s">
        <v>11</v>
      </c>
      <c r="U3" s="7"/>
      <c r="W3" s="10"/>
      <c r="X3" s="11" t="s">
        <v>146</v>
      </c>
      <c r="Y3" s="12" t="s">
        <v>147</v>
      </c>
      <c r="Z3" s="11" t="s">
        <v>148</v>
      </c>
      <c r="AA3" s="12" t="s">
        <v>149</v>
      </c>
      <c r="AB3" s="11" t="s">
        <v>150</v>
      </c>
      <c r="AC3" s="12" t="s">
        <v>149</v>
      </c>
      <c r="AD3" s="11" t="s">
        <v>151</v>
      </c>
      <c r="AE3" s="12" t="s">
        <v>149</v>
      </c>
      <c r="AF3" s="13" t="s">
        <v>152</v>
      </c>
      <c r="AG3" s="13" t="s">
        <v>153</v>
      </c>
      <c r="AH3" s="14" t="s">
        <v>154</v>
      </c>
    </row>
    <row r="4" customHeight="1" spans="1:38">
      <c r="A4" s="9" t="s">
        <v>155</v>
      </c>
      <c r="B4" s="7" t="s">
        <v>156</v>
      </c>
      <c r="C4" s="7" t="s">
        <v>157</v>
      </c>
      <c r="D4" s="7" t="s">
        <v>137</v>
      </c>
      <c r="E4" s="7" t="s">
        <v>129</v>
      </c>
      <c r="F4" s="7" t="s">
        <v>130</v>
      </c>
      <c r="G4" s="7">
        <v>6600110000</v>
      </c>
      <c r="H4" s="7">
        <v>6600110000</v>
      </c>
      <c r="I4" s="7" t="s">
        <v>131</v>
      </c>
      <c r="L4" s="7" t="s">
        <v>132</v>
      </c>
      <c r="M4" s="7" t="s">
        <v>158</v>
      </c>
      <c r="N4" s="7" t="s">
        <v>159</v>
      </c>
      <c r="O4" s="7" t="s">
        <v>160</v>
      </c>
      <c r="P4" s="7" t="s">
        <v>161</v>
      </c>
      <c r="R4" s="7"/>
      <c r="S4" s="7" t="s">
        <v>12</v>
      </c>
      <c r="U4" s="7"/>
      <c r="W4" s="10" t="s">
        <v>162</v>
      </c>
      <c r="X4" s="15" t="s">
        <v>163</v>
      </c>
      <c r="Y4" s="16" t="s">
        <v>164</v>
      </c>
      <c r="Z4" s="15" t="s">
        <v>165</v>
      </c>
      <c r="AA4" s="16" t="s">
        <v>166</v>
      </c>
      <c r="AB4" s="15" t="s">
        <v>167</v>
      </c>
      <c r="AC4" s="16" t="s">
        <v>168</v>
      </c>
      <c r="AD4" s="15">
        <v>202406</v>
      </c>
      <c r="AE4" s="16" t="s">
        <v>169</v>
      </c>
      <c r="AF4" s="17" t="s">
        <v>170</v>
      </c>
      <c r="AG4" s="17"/>
      <c r="AH4" s="18" t="s">
        <v>171</v>
      </c>
    </row>
    <row r="5" customHeight="1" spans="1:38">
      <c r="A5" s="19"/>
      <c r="B5" s="7" t="s">
        <v>172</v>
      </c>
      <c r="C5" s="7" t="s">
        <v>157</v>
      </c>
      <c r="D5" s="7" t="s">
        <v>137</v>
      </c>
      <c r="E5" s="7" t="s">
        <v>129</v>
      </c>
      <c r="F5" s="7" t="s">
        <v>130</v>
      </c>
      <c r="G5" s="7" t="s">
        <v>173</v>
      </c>
      <c r="H5" s="7" t="s">
        <v>173</v>
      </c>
      <c r="I5" s="7" t="s">
        <v>131</v>
      </c>
      <c r="L5" s="7" t="s">
        <v>132</v>
      </c>
      <c r="M5" s="7" t="s">
        <v>174</v>
      </c>
      <c r="N5" s="7" t="s">
        <v>175</v>
      </c>
      <c r="O5" s="7" t="s">
        <v>176</v>
      </c>
      <c r="P5" s="7" t="s">
        <v>161</v>
      </c>
      <c r="R5" s="7"/>
      <c r="S5" s="7" t="s">
        <v>13</v>
      </c>
      <c r="U5" s="7"/>
      <c r="W5" s="10" t="s">
        <v>177</v>
      </c>
      <c r="X5" s="15" t="s">
        <v>163</v>
      </c>
      <c r="Y5" s="16" t="s">
        <v>164</v>
      </c>
      <c r="Z5" s="15" t="s">
        <v>165</v>
      </c>
      <c r="AA5" s="16" t="s">
        <v>166</v>
      </c>
      <c r="AB5" s="15" t="s">
        <v>178</v>
      </c>
      <c r="AC5" s="16" t="s">
        <v>179</v>
      </c>
      <c r="AD5" s="15">
        <v>202406</v>
      </c>
      <c r="AE5" s="16" t="s">
        <v>169</v>
      </c>
      <c r="AF5" s="17" t="s">
        <v>170</v>
      </c>
      <c r="AG5" s="17"/>
      <c r="AH5" s="18" t="s">
        <v>180</v>
      </c>
    </row>
    <row r="6" customHeight="1" spans="1:38">
      <c r="A6" s="7" t="s">
        <v>181</v>
      </c>
      <c r="B6" s="7" t="s">
        <v>182</v>
      </c>
      <c r="C6" s="7" t="s">
        <v>183</v>
      </c>
      <c r="D6" s="7" t="s">
        <v>184</v>
      </c>
      <c r="E6" s="7" t="s">
        <v>130</v>
      </c>
      <c r="F6" s="7" t="s">
        <v>129</v>
      </c>
      <c r="G6" s="7" t="s">
        <v>130</v>
      </c>
      <c r="H6" s="7">
        <v>6600800200</v>
      </c>
      <c r="I6" s="7" t="s">
        <v>185</v>
      </c>
      <c r="L6" s="7" t="s">
        <v>132</v>
      </c>
      <c r="M6" s="7" t="s">
        <v>186</v>
      </c>
      <c r="N6" s="7" t="s">
        <v>187</v>
      </c>
      <c r="O6" s="7" t="s">
        <v>188</v>
      </c>
      <c r="P6" s="7" t="s">
        <v>161</v>
      </c>
      <c r="R6" s="7"/>
      <c r="S6" s="7" t="s">
        <v>14</v>
      </c>
      <c r="U6" s="7"/>
      <c r="W6" s="10" t="s">
        <v>189</v>
      </c>
      <c r="X6" s="15" t="s">
        <v>163</v>
      </c>
      <c r="Y6" s="16" t="s">
        <v>164</v>
      </c>
      <c r="Z6" s="15" t="s">
        <v>165</v>
      </c>
      <c r="AA6" s="16" t="s">
        <v>166</v>
      </c>
      <c r="AB6" s="15" t="s">
        <v>190</v>
      </c>
      <c r="AC6" s="16" t="s">
        <v>191</v>
      </c>
      <c r="AD6" s="15">
        <v>202406</v>
      </c>
      <c r="AE6" s="16" t="s">
        <v>169</v>
      </c>
      <c r="AF6" s="17" t="s">
        <v>192</v>
      </c>
      <c r="AG6" s="17">
        <v>1</v>
      </c>
      <c r="AH6" s="18" t="s">
        <v>193</v>
      </c>
    </row>
    <row r="7" customHeight="1" spans="1:38">
      <c r="L7" s="7" t="s">
        <v>132</v>
      </c>
      <c r="M7" s="7" t="s">
        <v>194</v>
      </c>
      <c r="N7" s="7" t="s">
        <v>195</v>
      </c>
      <c r="O7" s="7" t="s">
        <v>196</v>
      </c>
      <c r="P7" s="7" t="s">
        <v>161</v>
      </c>
      <c r="R7" s="7"/>
      <c r="S7" s="7" t="s">
        <v>15</v>
      </c>
      <c r="U7" s="7"/>
      <c r="W7" s="10" t="s">
        <v>197</v>
      </c>
      <c r="X7" s="20" t="s">
        <v>163</v>
      </c>
      <c r="Y7" s="21" t="s">
        <v>164</v>
      </c>
      <c r="Z7" s="20" t="s">
        <v>198</v>
      </c>
      <c r="AA7" s="21" t="s">
        <v>199</v>
      </c>
      <c r="AB7" s="20" t="s">
        <v>190</v>
      </c>
      <c r="AC7" s="21" t="s">
        <v>191</v>
      </c>
      <c r="AD7" s="20">
        <v>202406</v>
      </c>
      <c r="AE7" s="21" t="s">
        <v>169</v>
      </c>
      <c r="AF7" s="22" t="s">
        <v>192</v>
      </c>
      <c r="AG7" s="22">
        <v>2</v>
      </c>
      <c r="AH7" s="23" t="s">
        <v>200</v>
      </c>
    </row>
    <row r="8" customHeight="1" spans="1:38">
      <c r="L8" s="7" t="s">
        <v>132</v>
      </c>
      <c r="M8" s="7" t="s">
        <v>201</v>
      </c>
      <c r="N8" s="7" t="s">
        <v>202</v>
      </c>
      <c r="O8" s="7" t="s">
        <v>203</v>
      </c>
      <c r="P8" s="7" t="s">
        <v>161</v>
      </c>
      <c r="R8" s="7"/>
      <c r="S8" s="7" t="s">
        <v>16</v>
      </c>
      <c r="U8" s="7"/>
    </row>
    <row r="9" customHeight="1" spans="1:38">
      <c r="A9" s="4" t="s">
        <v>118</v>
      </c>
      <c r="B9" s="4" t="s">
        <v>122</v>
      </c>
      <c r="C9" s="4" t="s">
        <v>204</v>
      </c>
      <c r="D9" s="4" t="s">
        <v>205</v>
      </c>
      <c r="E9" s="24" t="s">
        <v>23</v>
      </c>
      <c r="G9" s="25" t="s">
        <v>206</v>
      </c>
      <c r="H9" s="26" t="s">
        <v>207</v>
      </c>
      <c r="I9" s="26" t="s">
        <v>208</v>
      </c>
      <c r="J9" s="4" t="s">
        <v>182</v>
      </c>
      <c r="L9" s="7" t="s">
        <v>132</v>
      </c>
      <c r="M9" s="7" t="s">
        <v>209</v>
      </c>
      <c r="N9" s="7" t="s">
        <v>210</v>
      </c>
      <c r="O9" s="7" t="s">
        <v>211</v>
      </c>
      <c r="P9" s="7" t="s">
        <v>212</v>
      </c>
      <c r="R9" s="7" t="s">
        <v>213</v>
      </c>
      <c r="S9" s="7" t="s">
        <v>192</v>
      </c>
      <c r="U9" s="7"/>
    </row>
    <row r="10" customHeight="1" spans="1:38">
      <c r="A10" s="7">
        <v>6600800200</v>
      </c>
      <c r="B10" s="7" t="s">
        <v>214</v>
      </c>
      <c r="C10" s="7" t="s">
        <v>215</v>
      </c>
      <c r="D10" s="7" t="str">
        <f t="shared" ref="D10:D34" si="0">A10&amp;" EA "&amp;B10</f>
        <v>6600800200 EA Construction in progress - equipment procurement</v>
      </c>
      <c r="E10" s="7" t="s">
        <v>182</v>
      </c>
      <c r="G10" s="27" t="s">
        <v>216</v>
      </c>
      <c r="H10" s="28" t="s">
        <v>216</v>
      </c>
      <c r="I10" s="29" t="s">
        <v>217</v>
      </c>
      <c r="J10" s="7" t="s">
        <v>218</v>
      </c>
      <c r="L10" s="7" t="s">
        <v>132</v>
      </c>
      <c r="M10" s="7" t="s">
        <v>219</v>
      </c>
      <c r="N10" s="7" t="s">
        <v>220</v>
      </c>
      <c r="O10" s="7" t="s">
        <v>221</v>
      </c>
      <c r="P10" s="7" t="s">
        <v>161</v>
      </c>
      <c r="R10" s="7"/>
      <c r="S10" s="7" t="s">
        <v>222</v>
      </c>
      <c r="U10" s="7"/>
      <c r="X10" s="30" t="s">
        <v>223</v>
      </c>
      <c r="Y10" s="30" t="s">
        <v>45</v>
      </c>
      <c r="Z10" s="30" t="s">
        <v>224</v>
      </c>
      <c r="AA10" s="30" t="s">
        <v>225</v>
      </c>
      <c r="AB10" s="30" t="s">
        <v>226</v>
      </c>
      <c r="AC10" s="31" t="s">
        <v>154</v>
      </c>
      <c r="AL10" s="3"/>
    </row>
    <row r="11" customHeight="1" spans="1:38">
      <c r="A11" s="7">
        <v>6600060100</v>
      </c>
      <c r="B11" s="7" t="s">
        <v>135</v>
      </c>
      <c r="C11" s="7" t="s">
        <v>227</v>
      </c>
      <c r="D11" s="7" t="str">
        <f t="shared" si="0"/>
        <v>6600060100 EA Expenses-office allowance</v>
      </c>
      <c r="E11" s="7" t="s">
        <v>156</v>
      </c>
      <c r="G11" s="32" t="s">
        <v>228</v>
      </c>
      <c r="H11" s="33" t="s">
        <v>229</v>
      </c>
      <c r="I11" s="34" t="s">
        <v>230</v>
      </c>
      <c r="J11" s="9" t="s">
        <v>231</v>
      </c>
      <c r="L11" s="7" t="s">
        <v>132</v>
      </c>
      <c r="M11" s="7" t="s">
        <v>232</v>
      </c>
      <c r="N11" s="7" t="s">
        <v>233</v>
      </c>
      <c r="O11" s="7" t="s">
        <v>234</v>
      </c>
      <c r="P11" s="7" t="s">
        <v>235</v>
      </c>
      <c r="R11" s="7"/>
      <c r="S11" s="7" t="s">
        <v>170</v>
      </c>
      <c r="U11" s="7"/>
      <c r="X11" s="35" t="s">
        <v>198</v>
      </c>
      <c r="Y11" s="35" t="s">
        <v>167</v>
      </c>
      <c r="Z11" s="35">
        <v>202410</v>
      </c>
      <c r="AA11" s="35" t="s">
        <v>10</v>
      </c>
      <c r="AB11" s="35"/>
      <c r="AC11" s="35" t="str">
        <f>IF(Y11="M","SW-"&amp;X11&amp;"-"&amp;Y11&amp;"-"&amp;Z11&amp;"-"&amp;AA11,"SW-"&amp;X11&amp;"-"&amp;Y11&amp;"-"&amp;Z11&amp;"-"&amp;AA11&amp;"-00"&amp;AB11)</f>
        <v>SW-NCH-M-202410-Operation</v>
      </c>
      <c r="AL11" s="3"/>
    </row>
    <row r="12" customHeight="1" spans="1:38">
      <c r="A12" s="7">
        <v>6600110000</v>
      </c>
      <c r="B12" s="7" t="s">
        <v>236</v>
      </c>
      <c r="C12" s="7" t="s">
        <v>237</v>
      </c>
      <c r="D12" s="7" t="str">
        <f t="shared" si="0"/>
        <v>6600110000 EA Expenses-meterial cost</v>
      </c>
      <c r="E12" s="7" t="s">
        <v>156</v>
      </c>
      <c r="G12" s="28" t="s">
        <v>238</v>
      </c>
      <c r="H12" s="28" t="s">
        <v>239</v>
      </c>
      <c r="I12" s="29" t="s">
        <v>240</v>
      </c>
      <c r="J12" s="7" t="s">
        <v>241</v>
      </c>
      <c r="L12" s="7" t="s">
        <v>132</v>
      </c>
      <c r="M12" s="7" t="s">
        <v>242</v>
      </c>
      <c r="N12" s="7" t="s">
        <v>243</v>
      </c>
      <c r="O12" s="7" t="s">
        <v>244</v>
      </c>
      <c r="P12" s="7" t="s">
        <v>235</v>
      </c>
      <c r="R12" s="7"/>
      <c r="S12" s="7" t="s">
        <v>245</v>
      </c>
      <c r="U12" s="7"/>
      <c r="X12" s="35"/>
      <c r="Y12" s="35"/>
      <c r="Z12" s="35"/>
      <c r="AA12" s="35"/>
      <c r="AB12" s="35"/>
      <c r="AC12" s="35"/>
      <c r="AL12" s="3"/>
    </row>
    <row r="13" customHeight="1" spans="1:38">
      <c r="A13" s="7">
        <v>5101010000</v>
      </c>
      <c r="B13" s="7" t="s">
        <v>246</v>
      </c>
      <c r="C13" s="7" t="s">
        <v>247</v>
      </c>
      <c r="D13" s="7" t="str">
        <f t="shared" si="0"/>
        <v>5101010000 EA Project WBS received materials</v>
      </c>
      <c r="E13" s="7" t="s">
        <v>127</v>
      </c>
      <c r="G13" s="28" t="s">
        <v>248</v>
      </c>
      <c r="H13" s="28"/>
      <c r="I13" s="29"/>
      <c r="J13" s="7" t="s">
        <v>249</v>
      </c>
      <c r="L13" s="7" t="s">
        <v>132</v>
      </c>
      <c r="M13" s="7" t="s">
        <v>250</v>
      </c>
      <c r="N13" s="7" t="s">
        <v>251</v>
      </c>
      <c r="O13" s="7" t="s">
        <v>252</v>
      </c>
      <c r="P13" s="7" t="s">
        <v>235</v>
      </c>
      <c r="R13" s="7" t="s">
        <v>253</v>
      </c>
      <c r="S13" s="7" t="s">
        <v>253</v>
      </c>
      <c r="U13" s="7"/>
      <c r="X13" s="35"/>
      <c r="Y13" s="35"/>
      <c r="Z13" s="35"/>
      <c r="AA13" s="35"/>
      <c r="AB13" s="35"/>
      <c r="AC13" s="35"/>
      <c r="AL13" s="3"/>
    </row>
    <row r="14" customHeight="1" spans="1:38">
      <c r="A14" s="7">
        <v>6600370000</v>
      </c>
      <c r="B14" s="7" t="s">
        <v>254</v>
      </c>
      <c r="C14" s="7" t="s">
        <v>15</v>
      </c>
      <c r="D14" s="7" t="str">
        <f t="shared" si="0"/>
        <v>6600370000 EA Exp-Maintenance fee</v>
      </c>
      <c r="E14" s="36" t="s">
        <v>77</v>
      </c>
      <c r="G14" s="28" t="s">
        <v>255</v>
      </c>
      <c r="H14" s="28"/>
      <c r="I14" s="26" t="s">
        <v>23</v>
      </c>
      <c r="J14" s="28"/>
      <c r="L14" s="7" t="s">
        <v>132</v>
      </c>
      <c r="M14" s="7" t="s">
        <v>256</v>
      </c>
      <c r="N14" s="7" t="s">
        <v>257</v>
      </c>
      <c r="O14" s="7" t="s">
        <v>258</v>
      </c>
      <c r="P14" s="7" t="s">
        <v>235</v>
      </c>
      <c r="R14" s="7" t="s">
        <v>259</v>
      </c>
      <c r="S14" s="7" t="s">
        <v>259</v>
      </c>
      <c r="U14" s="7"/>
      <c r="X14" s="35"/>
      <c r="Y14" s="35"/>
      <c r="Z14" s="35"/>
      <c r="AA14" s="35"/>
      <c r="AB14" s="35"/>
      <c r="AC14" s="35"/>
    </row>
    <row r="15" customHeight="1" spans="1:38">
      <c r="A15" s="7">
        <v>6600170400</v>
      </c>
      <c r="B15" s="7" t="s">
        <v>252</v>
      </c>
      <c r="C15" s="7" t="s">
        <v>260</v>
      </c>
      <c r="D15" s="7" t="str">
        <f t="shared" si="0"/>
        <v>6600170400 EA Expenses-education and training</v>
      </c>
      <c r="E15" s="37" t="s">
        <v>260</v>
      </c>
      <c r="G15" s="28" t="s">
        <v>217</v>
      </c>
      <c r="H15" s="28"/>
      <c r="I15" s="28" t="s">
        <v>261</v>
      </c>
      <c r="J15" s="28"/>
      <c r="L15" s="7" t="s">
        <v>132</v>
      </c>
      <c r="M15" s="7" t="s">
        <v>262</v>
      </c>
      <c r="N15" s="7" t="s">
        <v>263</v>
      </c>
      <c r="O15" s="7" t="s">
        <v>264</v>
      </c>
      <c r="P15" s="7" t="s">
        <v>235</v>
      </c>
      <c r="R15" s="7" t="s">
        <v>212</v>
      </c>
      <c r="S15" s="7" t="s">
        <v>212</v>
      </c>
      <c r="U15" s="7"/>
      <c r="X15" s="35"/>
      <c r="Y15" s="35"/>
      <c r="Z15" s="35"/>
      <c r="AA15" s="35"/>
      <c r="AB15" s="35"/>
      <c r="AC15" s="35"/>
    </row>
    <row r="16" customHeight="1" spans="1:38">
      <c r="A16" s="7">
        <v>6600280000</v>
      </c>
      <c r="B16" s="7" t="s">
        <v>265</v>
      </c>
      <c r="C16" s="7" t="s">
        <v>266</v>
      </c>
      <c r="D16" s="7" t="str">
        <f t="shared" si="0"/>
        <v>6600280000 EA Expenses-testing charges</v>
      </c>
      <c r="E16" s="36" t="s">
        <v>267</v>
      </c>
      <c r="G16" s="28" t="s">
        <v>268</v>
      </c>
      <c r="H16" s="28"/>
      <c r="I16" s="28" t="s">
        <v>77</v>
      </c>
      <c r="J16" s="28"/>
      <c r="L16" s="7" t="s">
        <v>132</v>
      </c>
      <c r="M16" s="7" t="s">
        <v>269</v>
      </c>
      <c r="N16" s="7" t="s">
        <v>270</v>
      </c>
      <c r="O16" s="7" t="s">
        <v>271</v>
      </c>
      <c r="P16" s="7" t="s">
        <v>235</v>
      </c>
      <c r="R16" s="7" t="s">
        <v>272</v>
      </c>
      <c r="S16" s="7" t="s">
        <v>272</v>
      </c>
      <c r="U16" s="7"/>
      <c r="X16" s="35"/>
      <c r="Y16" s="35"/>
      <c r="Z16" s="35"/>
      <c r="AA16" s="35"/>
      <c r="AB16" s="35"/>
      <c r="AC16" s="35"/>
    </row>
    <row r="17" customHeight="1" spans="1:29">
      <c r="A17" s="7">
        <v>6600240100</v>
      </c>
      <c r="B17" s="7" t="s">
        <v>273</v>
      </c>
      <c r="C17" s="7" t="s">
        <v>274</v>
      </c>
      <c r="D17" s="7" t="str">
        <f t="shared" si="0"/>
        <v>6600240100 EA Exp-Transportation and storage costs</v>
      </c>
      <c r="E17" s="36" t="s">
        <v>275</v>
      </c>
      <c r="G17" s="27" t="s">
        <v>276</v>
      </c>
      <c r="H17" s="38"/>
      <c r="I17" s="38" t="s">
        <v>275</v>
      </c>
      <c r="J17" s="38"/>
      <c r="L17" s="7" t="s">
        <v>132</v>
      </c>
      <c r="M17" s="7" t="s">
        <v>277</v>
      </c>
      <c r="N17" s="7" t="s">
        <v>278</v>
      </c>
      <c r="O17" s="7" t="s">
        <v>279</v>
      </c>
      <c r="P17" s="7" t="s">
        <v>280</v>
      </c>
      <c r="R17" s="7" t="s">
        <v>281</v>
      </c>
      <c r="S17" s="7" t="s">
        <v>281</v>
      </c>
      <c r="U17" s="7"/>
      <c r="X17" s="35"/>
      <c r="Y17" s="35"/>
      <c r="Z17" s="35"/>
      <c r="AA17" s="35"/>
      <c r="AB17" s="35"/>
      <c r="AC17" s="35"/>
    </row>
    <row r="18" customHeight="1" spans="1:29">
      <c r="A18" s="7" t="s">
        <v>282</v>
      </c>
      <c r="B18" s="7" t="s">
        <v>283</v>
      </c>
      <c r="C18" s="9" t="s">
        <v>284</v>
      </c>
      <c r="D18" s="7" t="str">
        <f t="shared" si="0"/>
        <v>6600410000 EA Exp-Commissioned development</v>
      </c>
      <c r="E18" s="37"/>
      <c r="G18" s="39" t="s">
        <v>285</v>
      </c>
      <c r="H18" s="28"/>
      <c r="I18" s="28" t="s">
        <v>267</v>
      </c>
      <c r="J18" s="28"/>
      <c r="L18" s="7" t="s">
        <v>132</v>
      </c>
      <c r="M18" s="7" t="s">
        <v>286</v>
      </c>
      <c r="N18" s="7" t="s">
        <v>287</v>
      </c>
      <c r="O18" s="7" t="s">
        <v>288</v>
      </c>
      <c r="P18" s="7" t="s">
        <v>280</v>
      </c>
      <c r="R18" s="7" t="s">
        <v>145</v>
      </c>
      <c r="S18" s="7" t="s">
        <v>145</v>
      </c>
      <c r="U18" s="7"/>
      <c r="X18" s="35"/>
      <c r="Y18" s="35"/>
      <c r="Z18" s="35"/>
      <c r="AA18" s="35"/>
      <c r="AB18" s="35"/>
      <c r="AC18" s="35"/>
    </row>
    <row r="19" customHeight="1" spans="1:29">
      <c r="A19" s="7" t="s">
        <v>289</v>
      </c>
      <c r="B19" s="7" t="s">
        <v>290</v>
      </c>
      <c r="C19" s="40"/>
      <c r="D19" s="7" t="str">
        <f t="shared" si="0"/>
        <v>6600420000 EA Expenses-consulting</v>
      </c>
      <c r="E19" s="37"/>
      <c r="L19" s="7" t="s">
        <v>132</v>
      </c>
      <c r="M19" s="7" t="s">
        <v>291</v>
      </c>
      <c r="N19" s="7" t="s">
        <v>292</v>
      </c>
      <c r="O19" s="7" t="s">
        <v>290</v>
      </c>
      <c r="P19" s="7" t="s">
        <v>212</v>
      </c>
      <c r="R19" s="7" t="s">
        <v>293</v>
      </c>
      <c r="S19" s="7" t="s">
        <v>293</v>
      </c>
      <c r="U19" s="7"/>
      <c r="X19" s="35"/>
      <c r="Y19" s="35"/>
      <c r="Z19" s="35"/>
      <c r="AA19" s="35"/>
      <c r="AB19" s="35"/>
      <c r="AC19" s="35"/>
    </row>
    <row r="20" customHeight="1" spans="1:29">
      <c r="A20" s="7">
        <v>5101010000</v>
      </c>
      <c r="B20" s="7" t="s">
        <v>246</v>
      </c>
      <c r="C20" s="40"/>
      <c r="D20" s="7" t="str">
        <f t="shared" si="0"/>
        <v>5101010000 EA Project WBS received materials</v>
      </c>
      <c r="E20" s="37"/>
      <c r="L20" s="7" t="s">
        <v>132</v>
      </c>
      <c r="M20" s="7" t="s">
        <v>294</v>
      </c>
      <c r="N20" s="7" t="s">
        <v>295</v>
      </c>
      <c r="O20" s="7" t="s">
        <v>296</v>
      </c>
      <c r="P20" s="7" t="s">
        <v>293</v>
      </c>
    </row>
    <row r="21" customHeight="1" spans="1:29">
      <c r="A21" s="7">
        <v>6600110000</v>
      </c>
      <c r="B21" s="7" t="s">
        <v>236</v>
      </c>
      <c r="C21" s="40"/>
      <c r="D21" s="7" t="str">
        <f t="shared" si="0"/>
        <v>6600110000 EA Expenses-meterial cost</v>
      </c>
      <c r="E21" s="37"/>
      <c r="L21" s="7" t="s">
        <v>132</v>
      </c>
      <c r="M21" s="7" t="s">
        <v>297</v>
      </c>
      <c r="N21" s="7" t="s">
        <v>298</v>
      </c>
      <c r="O21" s="7" t="s">
        <v>299</v>
      </c>
      <c r="P21" s="7" t="s">
        <v>212</v>
      </c>
    </row>
    <row r="22" customHeight="1" spans="1:29">
      <c r="A22" s="7">
        <v>6600120000</v>
      </c>
      <c r="B22" s="7" t="s">
        <v>300</v>
      </c>
      <c r="C22" s="19"/>
      <c r="D22" s="7" t="str">
        <f t="shared" si="0"/>
        <v>6600120000 EA Sample cost</v>
      </c>
      <c r="E22" s="37"/>
      <c r="L22" s="7" t="s">
        <v>132</v>
      </c>
      <c r="M22" s="7" t="s">
        <v>301</v>
      </c>
      <c r="N22" s="7" t="s">
        <v>302</v>
      </c>
      <c r="O22" s="7" t="s">
        <v>303</v>
      </c>
      <c r="P22" s="7" t="s">
        <v>293</v>
      </c>
    </row>
    <row r="23" customHeight="1" spans="1:29">
      <c r="A23" s="7">
        <v>6600350100</v>
      </c>
      <c r="B23" s="7" t="s">
        <v>304</v>
      </c>
      <c r="C23" s="7" t="s">
        <v>253</v>
      </c>
      <c r="D23" s="7" t="str">
        <f t="shared" si="0"/>
        <v>6600350100 EA Exp-EHS cost - Metering and testing fee</v>
      </c>
      <c r="E23" s="36" t="s">
        <v>267</v>
      </c>
      <c r="L23" s="7" t="s">
        <v>132</v>
      </c>
      <c r="M23" s="7" t="s">
        <v>305</v>
      </c>
      <c r="N23" s="7" t="s">
        <v>306</v>
      </c>
      <c r="O23" s="7" t="s">
        <v>307</v>
      </c>
      <c r="P23" s="7" t="s">
        <v>308</v>
      </c>
    </row>
    <row r="24" customHeight="1" spans="1:29">
      <c r="A24" s="7">
        <v>6600350200</v>
      </c>
      <c r="B24" s="7" t="s">
        <v>309</v>
      </c>
      <c r="C24" s="7"/>
      <c r="D24" s="7" t="str">
        <f t="shared" si="0"/>
        <v>6600350200 EA Expenses -EHS cost - Maintenance fees</v>
      </c>
      <c r="E24" s="36" t="s">
        <v>77</v>
      </c>
      <c r="L24" s="7" t="s">
        <v>132</v>
      </c>
      <c r="M24" s="7" t="s">
        <v>310</v>
      </c>
      <c r="N24" s="7" t="s">
        <v>311</v>
      </c>
      <c r="O24" s="7" t="s">
        <v>312</v>
      </c>
      <c r="P24" s="7" t="s">
        <v>308</v>
      </c>
    </row>
    <row r="25" customHeight="1" spans="1:29">
      <c r="A25" s="7">
        <v>6600350300</v>
      </c>
      <c r="B25" s="7" t="s">
        <v>313</v>
      </c>
      <c r="C25" s="7"/>
      <c r="D25" s="7" t="str">
        <f t="shared" si="0"/>
        <v>6600350300 EA Expenses-EHS cost-three wastes transportation cost</v>
      </c>
      <c r="E25" s="36" t="s">
        <v>261</v>
      </c>
      <c r="L25" s="7" t="s">
        <v>132</v>
      </c>
      <c r="M25" s="7" t="s">
        <v>314</v>
      </c>
      <c r="N25" s="7" t="s">
        <v>315</v>
      </c>
      <c r="O25" s="7" t="s">
        <v>316</v>
      </c>
      <c r="P25" s="7" t="s">
        <v>308</v>
      </c>
    </row>
    <row r="26" customHeight="1" spans="1:29">
      <c r="A26" s="7">
        <v>6600350400</v>
      </c>
      <c r="B26" s="7" t="s">
        <v>317</v>
      </c>
      <c r="C26" s="7"/>
      <c r="D26" s="7" t="str">
        <f t="shared" si="0"/>
        <v>6600350400 EA Expenses -EHS cost - Three waste treatment fee</v>
      </c>
      <c r="E26" s="36" t="s">
        <v>261</v>
      </c>
      <c r="L26" s="7" t="s">
        <v>132</v>
      </c>
      <c r="M26" s="7" t="s">
        <v>318</v>
      </c>
      <c r="N26" s="7" t="s">
        <v>319</v>
      </c>
      <c r="O26" s="7" t="s">
        <v>320</v>
      </c>
      <c r="P26" s="7" t="s">
        <v>308</v>
      </c>
    </row>
    <row r="27" customHeight="1" spans="1:29">
      <c r="A27" s="7">
        <v>6600350500</v>
      </c>
      <c r="B27" s="7" t="s">
        <v>321</v>
      </c>
      <c r="C27" s="7"/>
      <c r="D27" s="7" t="str">
        <f t="shared" si="0"/>
        <v>6600350500 EA Expenses -EHS cost - Garbage removal fees</v>
      </c>
      <c r="E27" s="36" t="s">
        <v>261</v>
      </c>
      <c r="L27" s="7" t="s">
        <v>132</v>
      </c>
      <c r="M27" s="7" t="s">
        <v>322</v>
      </c>
      <c r="N27" s="7" t="s">
        <v>323</v>
      </c>
      <c r="O27" s="7" t="s">
        <v>324</v>
      </c>
      <c r="P27" s="7" t="s">
        <v>308</v>
      </c>
    </row>
    <row r="28" customHeight="1" spans="1:29">
      <c r="A28" s="7">
        <v>6600350600</v>
      </c>
      <c r="B28" s="7" t="s">
        <v>325</v>
      </c>
      <c r="C28" s="7"/>
      <c r="D28" s="7" t="str">
        <f t="shared" si="0"/>
        <v>6600350600 EA Expenses -EHS cost - Training fees</v>
      </c>
      <c r="E28" s="37" t="s">
        <v>260</v>
      </c>
      <c r="L28" s="7" t="s">
        <v>132</v>
      </c>
      <c r="M28" s="7" t="s">
        <v>326</v>
      </c>
      <c r="N28" s="7" t="s">
        <v>327</v>
      </c>
      <c r="O28" s="7" t="s">
        <v>328</v>
      </c>
      <c r="P28" s="7" t="s">
        <v>308</v>
      </c>
    </row>
    <row r="29" customHeight="1" spans="1:29">
      <c r="A29" s="7">
        <v>6600350700</v>
      </c>
      <c r="B29" s="7" t="s">
        <v>329</v>
      </c>
      <c r="C29" s="7"/>
      <c r="D29" s="7" t="str">
        <f t="shared" si="0"/>
        <v>6600350700 EA Expenses -EHS cost - Property fees</v>
      </c>
      <c r="E29" s="36" t="s">
        <v>261</v>
      </c>
      <c r="L29" s="7" t="s">
        <v>132</v>
      </c>
      <c r="M29" s="7" t="s">
        <v>330</v>
      </c>
      <c r="N29" s="7" t="s">
        <v>331</v>
      </c>
      <c r="O29" s="7" t="s">
        <v>332</v>
      </c>
      <c r="P29" s="7" t="s">
        <v>308</v>
      </c>
    </row>
    <row r="30" customHeight="1" spans="1:29">
      <c r="A30" s="7">
        <v>6600350800</v>
      </c>
      <c r="B30" s="7" t="s">
        <v>333</v>
      </c>
      <c r="C30" s="7"/>
      <c r="D30" s="7" t="str">
        <f t="shared" si="0"/>
        <v>6600350800 EA Expenses -EHS cost - Evaluation fees</v>
      </c>
      <c r="E30" s="36" t="s">
        <v>261</v>
      </c>
      <c r="L30" s="7" t="s">
        <v>132</v>
      </c>
      <c r="M30" s="7" t="s">
        <v>334</v>
      </c>
      <c r="N30" s="7" t="s">
        <v>335</v>
      </c>
      <c r="O30" s="7" t="s">
        <v>336</v>
      </c>
      <c r="P30" s="7" t="s">
        <v>212</v>
      </c>
    </row>
    <row r="31" customHeight="1" spans="1:29">
      <c r="A31" s="7">
        <v>6600350900</v>
      </c>
      <c r="B31" s="7" t="s">
        <v>337</v>
      </c>
      <c r="C31" s="7"/>
      <c r="D31" s="7" t="str">
        <f t="shared" si="0"/>
        <v>6600350900 EA Expenses -EHS cost - Monitoring fees</v>
      </c>
      <c r="E31" s="36" t="s">
        <v>261</v>
      </c>
      <c r="L31" s="7" t="s">
        <v>132</v>
      </c>
      <c r="M31" s="7" t="s">
        <v>338</v>
      </c>
      <c r="N31" s="7" t="s">
        <v>339</v>
      </c>
      <c r="O31" s="7" t="s">
        <v>340</v>
      </c>
      <c r="P31" s="7" t="s">
        <v>212</v>
      </c>
    </row>
    <row r="32" customHeight="1" spans="1:29">
      <c r="A32" s="7">
        <v>6600351000</v>
      </c>
      <c r="B32" s="7" t="s">
        <v>341</v>
      </c>
      <c r="C32" s="7"/>
      <c r="D32" s="7" t="str">
        <f t="shared" si="0"/>
        <v>6600351000 EA Expenses -EHS cost - Health fees</v>
      </c>
      <c r="E32" s="36" t="s">
        <v>261</v>
      </c>
      <c r="L32" s="7" t="s">
        <v>132</v>
      </c>
      <c r="M32" s="7" t="s">
        <v>342</v>
      </c>
      <c r="N32" s="7" t="s">
        <v>343</v>
      </c>
      <c r="O32" s="7" t="s">
        <v>344</v>
      </c>
      <c r="P32" s="7" t="s">
        <v>212</v>
      </c>
    </row>
    <row r="33" customHeight="1" spans="1:16">
      <c r="A33" s="7">
        <v>6600351100</v>
      </c>
      <c r="B33" s="7" t="s">
        <v>345</v>
      </c>
      <c r="C33" s="7"/>
      <c r="D33" s="7" t="str">
        <f t="shared" si="0"/>
        <v>6600351100 EA Expenses -EHS cost - Security fees</v>
      </c>
      <c r="E33" s="36" t="s">
        <v>261</v>
      </c>
      <c r="L33" s="7" t="s">
        <v>132</v>
      </c>
      <c r="M33" s="7" t="s">
        <v>346</v>
      </c>
      <c r="N33" s="7" t="s">
        <v>347</v>
      </c>
      <c r="O33" s="7" t="s">
        <v>348</v>
      </c>
      <c r="P33" s="7" t="s">
        <v>308</v>
      </c>
    </row>
    <row r="34" customHeight="1" spans="1:16">
      <c r="A34" s="7">
        <v>6600351200</v>
      </c>
      <c r="B34" s="7" t="s">
        <v>349</v>
      </c>
      <c r="C34" s="7"/>
      <c r="D34" s="7" t="str">
        <f t="shared" si="0"/>
        <v>6600351200 EA Expenses -EHS cost - Other</v>
      </c>
      <c r="E34" s="36" t="s">
        <v>261</v>
      </c>
      <c r="L34" s="7" t="s">
        <v>132</v>
      </c>
      <c r="M34" s="7" t="s">
        <v>350</v>
      </c>
      <c r="N34" s="7" t="s">
        <v>351</v>
      </c>
      <c r="O34" s="7" t="s">
        <v>265</v>
      </c>
      <c r="P34" s="7" t="s">
        <v>352</v>
      </c>
    </row>
    <row r="35" customHeight="1" spans="1:16">
      <c r="L35" s="7" t="s">
        <v>132</v>
      </c>
      <c r="M35" s="7" t="s">
        <v>353</v>
      </c>
      <c r="N35" s="7" t="s">
        <v>354</v>
      </c>
      <c r="O35" s="7" t="s">
        <v>355</v>
      </c>
      <c r="P35" s="7" t="s">
        <v>212</v>
      </c>
    </row>
    <row r="36" customHeight="1" spans="1:16">
      <c r="L36" s="7" t="s">
        <v>132</v>
      </c>
      <c r="M36" s="7" t="s">
        <v>356</v>
      </c>
      <c r="N36" s="7" t="s">
        <v>357</v>
      </c>
      <c r="O36" s="7" t="s">
        <v>358</v>
      </c>
      <c r="P36" s="7" t="s">
        <v>212</v>
      </c>
    </row>
    <row r="37" customHeight="1" spans="1:16">
      <c r="L37" s="7" t="s">
        <v>132</v>
      </c>
      <c r="M37" s="7" t="s">
        <v>359</v>
      </c>
      <c r="N37" s="7" t="s">
        <v>360</v>
      </c>
      <c r="O37" s="7" t="s">
        <v>361</v>
      </c>
      <c r="P37" s="7" t="s">
        <v>362</v>
      </c>
    </row>
    <row r="38" customHeight="1" spans="1:16">
      <c r="L38" s="7" t="s">
        <v>132</v>
      </c>
      <c r="M38" s="7" t="s">
        <v>363</v>
      </c>
      <c r="N38" s="7" t="s">
        <v>364</v>
      </c>
      <c r="O38" s="7" t="s">
        <v>365</v>
      </c>
      <c r="P38" s="7" t="s">
        <v>362</v>
      </c>
    </row>
    <row r="39" customHeight="1" spans="1:16">
      <c r="L39" s="7" t="s">
        <v>132</v>
      </c>
      <c r="M39" s="7" t="s">
        <v>366</v>
      </c>
      <c r="N39" s="7" t="s">
        <v>367</v>
      </c>
      <c r="O39" s="7" t="s">
        <v>304</v>
      </c>
      <c r="P39" s="7" t="s">
        <v>253</v>
      </c>
    </row>
    <row r="40" customHeight="1" spans="1:16">
      <c r="L40" s="7" t="s">
        <v>132</v>
      </c>
      <c r="M40" s="7" t="s">
        <v>368</v>
      </c>
      <c r="N40" s="7" t="s">
        <v>369</v>
      </c>
      <c r="O40" s="7" t="s">
        <v>309</v>
      </c>
      <c r="P40" s="7" t="s">
        <v>253</v>
      </c>
    </row>
    <row r="41" customHeight="1" spans="1:16">
      <c r="L41" s="7" t="s">
        <v>132</v>
      </c>
      <c r="M41" s="7" t="s">
        <v>370</v>
      </c>
      <c r="N41" s="7" t="s">
        <v>371</v>
      </c>
      <c r="O41" s="7" t="s">
        <v>313</v>
      </c>
      <c r="P41" s="7" t="s">
        <v>253</v>
      </c>
    </row>
    <row r="42" customHeight="1" spans="1:16">
      <c r="L42" s="7" t="s">
        <v>132</v>
      </c>
      <c r="M42" s="7" t="s">
        <v>372</v>
      </c>
      <c r="N42" s="7" t="s">
        <v>373</v>
      </c>
      <c r="O42" s="7" t="s">
        <v>317</v>
      </c>
      <c r="P42" s="7" t="s">
        <v>253</v>
      </c>
    </row>
    <row r="43" customHeight="1" spans="1:16">
      <c r="L43" s="7" t="s">
        <v>132</v>
      </c>
      <c r="M43" s="7" t="s">
        <v>374</v>
      </c>
      <c r="N43" s="7" t="s">
        <v>375</v>
      </c>
      <c r="O43" s="7" t="s">
        <v>321</v>
      </c>
      <c r="P43" s="7" t="s">
        <v>253</v>
      </c>
    </row>
    <row r="44" customHeight="1" spans="1:16">
      <c r="L44" s="7" t="s">
        <v>132</v>
      </c>
      <c r="M44" s="7" t="s">
        <v>376</v>
      </c>
      <c r="N44" s="7" t="s">
        <v>377</v>
      </c>
      <c r="O44" s="7" t="s">
        <v>325</v>
      </c>
      <c r="P44" s="7" t="s">
        <v>253</v>
      </c>
    </row>
    <row r="45" customHeight="1" spans="1:16">
      <c r="L45" s="7" t="s">
        <v>132</v>
      </c>
      <c r="M45" s="7" t="s">
        <v>378</v>
      </c>
      <c r="N45" s="7" t="s">
        <v>379</v>
      </c>
      <c r="O45" s="7" t="s">
        <v>329</v>
      </c>
      <c r="P45" s="7" t="s">
        <v>253</v>
      </c>
    </row>
    <row r="46" customHeight="1" spans="1:16">
      <c r="L46" s="7" t="s">
        <v>132</v>
      </c>
      <c r="M46" s="7" t="s">
        <v>380</v>
      </c>
      <c r="N46" s="7" t="s">
        <v>381</v>
      </c>
      <c r="O46" s="7" t="s">
        <v>333</v>
      </c>
      <c r="P46" s="7" t="s">
        <v>253</v>
      </c>
    </row>
    <row r="47" customHeight="1" spans="1:16">
      <c r="L47" s="7" t="s">
        <v>132</v>
      </c>
      <c r="M47" s="7" t="s">
        <v>382</v>
      </c>
      <c r="N47" s="7" t="s">
        <v>383</v>
      </c>
      <c r="O47" s="7" t="s">
        <v>337</v>
      </c>
      <c r="P47" s="7" t="s">
        <v>253</v>
      </c>
    </row>
    <row r="48" customHeight="1" spans="1:16">
      <c r="L48" s="7" t="s">
        <v>132</v>
      </c>
      <c r="M48" s="7" t="s">
        <v>384</v>
      </c>
      <c r="N48" s="7" t="s">
        <v>385</v>
      </c>
      <c r="O48" s="7" t="s">
        <v>341</v>
      </c>
      <c r="P48" s="7" t="s">
        <v>253</v>
      </c>
    </row>
    <row r="49" customHeight="1" spans="12:16">
      <c r="L49" s="7" t="s">
        <v>132</v>
      </c>
      <c r="M49" s="7" t="s">
        <v>386</v>
      </c>
      <c r="N49" s="7" t="s">
        <v>387</v>
      </c>
      <c r="O49" s="7" t="s">
        <v>345</v>
      </c>
      <c r="P49" s="7" t="s">
        <v>253</v>
      </c>
    </row>
    <row r="50" customHeight="1" spans="12:16">
      <c r="L50" s="7" t="s">
        <v>132</v>
      </c>
      <c r="M50" s="7" t="s">
        <v>388</v>
      </c>
      <c r="N50" s="7" t="s">
        <v>389</v>
      </c>
      <c r="O50" s="7" t="s">
        <v>349</v>
      </c>
      <c r="P50" s="7" t="s">
        <v>253</v>
      </c>
    </row>
    <row r="51" customHeight="1" spans="12:16">
      <c r="L51" s="7" t="s">
        <v>132</v>
      </c>
      <c r="M51" s="7" t="s">
        <v>390</v>
      </c>
      <c r="N51" s="7" t="s">
        <v>391</v>
      </c>
      <c r="O51" s="7" t="s">
        <v>254</v>
      </c>
      <c r="P51" s="7" t="s">
        <v>392</v>
      </c>
    </row>
    <row r="52" customHeight="1" spans="12:16">
      <c r="L52" s="7" t="s">
        <v>132</v>
      </c>
      <c r="M52" s="7" t="s">
        <v>393</v>
      </c>
      <c r="N52" s="7" t="s">
        <v>394</v>
      </c>
      <c r="O52" s="7" t="s">
        <v>395</v>
      </c>
      <c r="P52" s="7" t="s">
        <v>396</v>
      </c>
    </row>
    <row r="53" customHeight="1" spans="12:16">
      <c r="L53" s="7" t="s">
        <v>132</v>
      </c>
      <c r="M53" s="7" t="s">
        <v>397</v>
      </c>
      <c r="N53" s="7" t="s">
        <v>398</v>
      </c>
      <c r="O53" s="7" t="s">
        <v>399</v>
      </c>
      <c r="P53" s="7" t="s">
        <v>212</v>
      </c>
    </row>
    <row r="54" customHeight="1" spans="12:16">
      <c r="L54" s="7" t="s">
        <v>132</v>
      </c>
      <c r="M54" s="7" t="s">
        <v>400</v>
      </c>
      <c r="N54" s="7" t="s">
        <v>401</v>
      </c>
      <c r="O54" s="7" t="s">
        <v>402</v>
      </c>
      <c r="P54" s="7" t="s">
        <v>212</v>
      </c>
    </row>
    <row r="55" customHeight="1" spans="12:16">
      <c r="L55" s="7" t="s">
        <v>132</v>
      </c>
      <c r="M55" s="7" t="s">
        <v>282</v>
      </c>
      <c r="N55" s="7" t="s">
        <v>403</v>
      </c>
      <c r="O55" s="7" t="s">
        <v>283</v>
      </c>
      <c r="P55" s="7" t="s">
        <v>213</v>
      </c>
    </row>
    <row r="56" customHeight="1" spans="12:16">
      <c r="L56" s="7" t="s">
        <v>132</v>
      </c>
      <c r="M56" s="7" t="s">
        <v>289</v>
      </c>
      <c r="N56" s="7" t="s">
        <v>404</v>
      </c>
      <c r="O56" s="7" t="s">
        <v>290</v>
      </c>
      <c r="P56" s="7" t="s">
        <v>213</v>
      </c>
    </row>
    <row r="57" customHeight="1" spans="12:16">
      <c r="L57" s="7" t="s">
        <v>132</v>
      </c>
      <c r="M57" s="7" t="s">
        <v>405</v>
      </c>
      <c r="N57" s="7" t="s">
        <v>406</v>
      </c>
      <c r="O57" s="7" t="s">
        <v>407</v>
      </c>
      <c r="P57" s="7" t="s">
        <v>308</v>
      </c>
    </row>
    <row r="58" customHeight="1" spans="12:16">
      <c r="L58" s="7" t="s">
        <v>132</v>
      </c>
      <c r="M58" s="7" t="s">
        <v>408</v>
      </c>
      <c r="N58" s="7" t="s">
        <v>409</v>
      </c>
      <c r="O58" s="7" t="s">
        <v>214</v>
      </c>
      <c r="P58" s="7" t="s">
        <v>308</v>
      </c>
    </row>
    <row r="59" customHeight="1" spans="12:16">
      <c r="L59" s="7" t="s">
        <v>132</v>
      </c>
      <c r="M59" s="7">
        <v>5101010000</v>
      </c>
      <c r="N59" s="7" t="s">
        <v>410</v>
      </c>
      <c r="O59" s="7" t="s">
        <v>246</v>
      </c>
      <c r="P59" s="7" t="s">
        <v>213</v>
      </c>
    </row>
    <row r="60" customHeight="1" spans="12:16">
      <c r="L60" s="7" t="s">
        <v>132</v>
      </c>
      <c r="M60" s="7">
        <v>6600110000</v>
      </c>
      <c r="N60" s="7" t="s">
        <v>411</v>
      </c>
      <c r="O60" s="7" t="s">
        <v>236</v>
      </c>
      <c r="P60" s="7" t="s">
        <v>213</v>
      </c>
    </row>
    <row r="61" customHeight="1" spans="12:16">
      <c r="L61" s="7" t="s">
        <v>132</v>
      </c>
      <c r="M61" s="7">
        <v>6600120000</v>
      </c>
      <c r="N61" s="7" t="s">
        <v>412</v>
      </c>
      <c r="O61" s="7" t="s">
        <v>300</v>
      </c>
      <c r="P61" s="7" t="s">
        <v>213</v>
      </c>
    </row>
  </sheetData>
  <sheetProtection formatCells="0" insertHyperlinks="0" autoFilter="0"/>
  <mergeCells count="6">
    <mergeCell ref="X1:AH1"/>
    <mergeCell ref="A4:A5"/>
    <mergeCell ref="C18:C22"/>
    <mergeCell ref="C23:C34"/>
    <mergeCell ref="R2:R8"/>
    <mergeCell ref="R9:R12"/>
  </mergeCells>
  <conditionalFormatting sqref="A9:A34">
    <cfRule type="duplicateValues" dxfId="0" priority="22"/>
  </conditionalFormatting>
  <dataValidations count="5">
    <dataValidation type="list" allowBlank="1" showInputMessage="1" showErrorMessage="1" sqref="E9 H9:I9 I14">
      <formula1>"R&amp;D project, Opex Material, Opex service"</formula1>
    </dataValidation>
    <dataValidation type="list" allowBlank="1" showErrorMessage="1" sqref="X11:X19">
      <formula1>"CH,NCH"</formula1>
    </dataValidation>
    <dataValidation type="list" allowBlank="1" showErrorMessage="1" sqref="Y11:Y19">
      <formula1>"M,E"</formula1>
    </dataValidation>
    <dataValidation type="list" allowBlank="1" showErrorMessage="1" sqref="AA11:AA19">
      <formula1>$S$2:$S$19</formula1>
    </dataValidation>
    <dataValidation type="whole" operator="between" allowBlank="1" showErrorMessage="1" sqref="AB11:AB19"/>
  </dataValidation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Summary</vt:lpstr>
      <vt:lpstr>K(Cost center)-Opex (Service)</vt:lpstr>
      <vt:lpstr>Capex-A(Asset)</vt:lpstr>
      <vt:lpstr>reference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李涛</cp:lastModifiedBy>
  <dcterms:created xsi:type="dcterms:W3CDTF">2006-09-16T08:00:00Z</dcterms:created>
  <dcterms:modified xsi:type="dcterms:W3CDTF">2026-04-10T09:26:18Z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1033-12.1.0.25242</vt:lpwstr>
  </property>
  <property fmtid="{D5CDD505-2E9C-101B-9397-08002B2CF9AE}" pid="3" name="ICV">
    <vt:lpwstr>2239175DB01C4229BC74D4B43F28B61F_12</vt:lpwstr>
  </property>
  <property fmtid="{D5CDD505-2E9C-101B-9397-08002B2CF9AE}" pid="4" name="CalculationRule">
    <vt:i4>0</vt:i4>
  </property>
</Properties>
</file>